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aspanltdca.sharepoint.com/sites/BusinessIntelligence/Shared Documents/Development/Finance Intelligence/99_Admin/Hiring/2026/"/>
    </mc:Choice>
  </mc:AlternateContent>
  <xr:revisionPtr revIDLastSave="579" documentId="8_{F221830E-9212-4E02-9CEA-7A222F6DB413}" xr6:coauthVersionLast="47" xr6:coauthVersionMax="47" xr10:uidLastSave="{B1518ACE-A882-4451-97DF-C42C06412649}"/>
  <bookViews>
    <workbookView xWindow="38280" yWindow="-120" windowWidth="38640" windowHeight="21120" xr2:uid="{81FA7CCF-C1FE-488E-8132-3F8F1B3B49A8}"/>
  </bookViews>
  <sheets>
    <sheet name="Input &amp; Output (Basic)" sheetId="1" r:id="rId1"/>
    <sheet name="Calculation" sheetId="2" r:id="rId2"/>
    <sheet name="Sample Data for Test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B15" i="2"/>
  <c r="D3" i="3"/>
  <c r="D4" i="3"/>
  <c r="G3" i="3"/>
  <c r="G4" i="3"/>
  <c r="G5" i="3"/>
  <c r="G6" i="3"/>
  <c r="G7" i="3"/>
  <c r="G8" i="3"/>
  <c r="G9" i="3"/>
  <c r="G10" i="3"/>
  <c r="G11" i="3"/>
  <c r="G2" i="3"/>
  <c r="D10" i="3"/>
  <c r="D11" i="3" s="1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C4" i="2"/>
  <c r="D4" i="2"/>
  <c r="E4" i="2"/>
  <c r="F4" i="2"/>
  <c r="G4" i="2"/>
  <c r="G11" i="2" s="1"/>
  <c r="H4" i="2"/>
  <c r="H11" i="2" s="1"/>
  <c r="I4" i="2"/>
  <c r="I11" i="2" s="1"/>
  <c r="J4" i="2"/>
  <c r="J11" i="2" s="1"/>
  <c r="K4" i="2"/>
  <c r="K11" i="2" s="1"/>
  <c r="L4" i="2"/>
  <c r="L11" i="2" s="1"/>
  <c r="M4" i="2"/>
  <c r="M11" i="2" s="1"/>
  <c r="N4" i="2"/>
  <c r="N10" i="2" s="1"/>
  <c r="O4" i="2"/>
  <c r="O10" i="2" s="1"/>
  <c r="P4" i="2"/>
  <c r="P11" i="2" s="1"/>
  <c r="Q4" i="2"/>
  <c r="Q10" i="2" s="1"/>
  <c r="R4" i="2"/>
  <c r="R11" i="2" s="1"/>
  <c r="S4" i="2"/>
  <c r="T4" i="2"/>
  <c r="U4" i="2"/>
  <c r="V4" i="2"/>
  <c r="W4" i="2"/>
  <c r="W11" i="2" s="1"/>
  <c r="X4" i="2"/>
  <c r="X11" i="2" s="1"/>
  <c r="Y4" i="2"/>
  <c r="Y11" i="2" s="1"/>
  <c r="Z4" i="2"/>
  <c r="Z11" i="2" s="1"/>
  <c r="AA4" i="2"/>
  <c r="AA11" i="2" s="1"/>
  <c r="AB4" i="2"/>
  <c r="AB11" i="2" s="1"/>
  <c r="AC4" i="2"/>
  <c r="AC11" i="2" s="1"/>
  <c r="AD4" i="2"/>
  <c r="AD11" i="2" s="1"/>
  <c r="AE4" i="2"/>
  <c r="AE11" i="2" s="1"/>
  <c r="AF4" i="2"/>
  <c r="AF11" i="2" s="1"/>
  <c r="AG4" i="2"/>
  <c r="AG11" i="2" s="1"/>
  <c r="C11" i="2"/>
  <c r="D11" i="2"/>
  <c r="E11" i="2"/>
  <c r="F11" i="2"/>
  <c r="S11" i="2"/>
  <c r="T11" i="2"/>
  <c r="U11" i="2"/>
  <c r="V11" i="2"/>
  <c r="B11" i="2"/>
  <c r="C10" i="2"/>
  <c r="D10" i="2"/>
  <c r="E10" i="2"/>
  <c r="F10" i="2"/>
  <c r="S10" i="2"/>
  <c r="T10" i="2"/>
  <c r="U10" i="2"/>
  <c r="V10" i="2"/>
  <c r="B10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B8" i="2"/>
  <c r="B2" i="2"/>
  <c r="B9" i="2" s="1"/>
  <c r="N11" i="2" l="1"/>
  <c r="AB10" i="2"/>
  <c r="AA10" i="2"/>
  <c r="J10" i="2"/>
  <c r="Y10" i="2"/>
  <c r="I10" i="2"/>
  <c r="X10" i="2"/>
  <c r="H10" i="2"/>
  <c r="W10" i="2"/>
  <c r="G10" i="2"/>
  <c r="AG10" i="2"/>
  <c r="P10" i="2"/>
  <c r="AE10" i="2"/>
  <c r="O11" i="2"/>
  <c r="M10" i="2"/>
  <c r="R10" i="2"/>
  <c r="Q11" i="2"/>
  <c r="AD10" i="2"/>
  <c r="AC10" i="2"/>
  <c r="Z10" i="2"/>
  <c r="AF10" i="2"/>
  <c r="L10" i="2"/>
  <c r="K10" i="2"/>
  <c r="B3" i="2"/>
  <c r="C2" i="2"/>
  <c r="C3" i="2" s="1"/>
  <c r="B6" i="2"/>
  <c r="B27" i="2"/>
  <c r="B7" i="2"/>
  <c r="C28" i="2" l="1"/>
  <c r="B5" i="2"/>
  <c r="B13" i="2" s="1"/>
  <c r="B4" i="2"/>
  <c r="B28" i="2"/>
  <c r="C9" i="2"/>
  <c r="D2" i="2"/>
  <c r="D3" i="2" s="1"/>
  <c r="B19" i="2"/>
  <c r="B16" i="2"/>
  <c r="B22" i="2" s="1"/>
  <c r="B12" i="2"/>
  <c r="B20" i="2" s="1"/>
  <c r="B14" i="2"/>
  <c r="B21" i="2" s="1"/>
  <c r="D28" i="2" l="1"/>
  <c r="D9" i="2"/>
  <c r="E2" i="2"/>
  <c r="E3" i="2" s="1"/>
  <c r="C13" i="2"/>
  <c r="C27" i="2"/>
  <c r="C7" i="2"/>
  <c r="C6" i="2"/>
  <c r="B23" i="2"/>
  <c r="B24" i="2" s="1"/>
  <c r="B29" i="2" s="1"/>
  <c r="B31" i="2" s="1"/>
  <c r="E28" i="2" l="1"/>
  <c r="E9" i="2"/>
  <c r="C16" i="2"/>
  <c r="C22" i="2" s="1"/>
  <c r="C19" i="2"/>
  <c r="C12" i="2"/>
  <c r="C20" i="2" s="1"/>
  <c r="C14" i="2"/>
  <c r="C21" i="2" s="1"/>
  <c r="D6" i="2"/>
  <c r="D27" i="2"/>
  <c r="D13" i="2"/>
  <c r="D14" i="2" s="1"/>
  <c r="D21" i="2" s="1"/>
  <c r="D7" i="2"/>
  <c r="F2" i="2"/>
  <c r="F3" i="2" s="1"/>
  <c r="F28" i="2" l="1"/>
  <c r="F9" i="2"/>
  <c r="C23" i="2"/>
  <c r="C24" i="2" s="1"/>
  <c r="C29" i="2" s="1"/>
  <c r="E6" i="2"/>
  <c r="E7" i="2"/>
  <c r="E27" i="2"/>
  <c r="E13" i="2"/>
  <c r="G2" i="2"/>
  <c r="G3" i="2" s="1"/>
  <c r="D15" i="2"/>
  <c r="D16" i="2" s="1"/>
  <c r="D22" i="2" s="1"/>
  <c r="D23" i="2" s="1"/>
  <c r="D19" i="2"/>
  <c r="D12" i="2"/>
  <c r="D20" i="2" s="1"/>
  <c r="G28" i="2" l="1"/>
  <c r="E14" i="2"/>
  <c r="E21" i="2" s="1"/>
  <c r="G9" i="2"/>
  <c r="C31" i="2"/>
  <c r="D24" i="2"/>
  <c r="D29" i="2" s="1"/>
  <c r="D31" i="2" s="1"/>
  <c r="F6" i="2"/>
  <c r="F13" i="2"/>
  <c r="F7" i="2"/>
  <c r="F27" i="2"/>
  <c r="H2" i="2"/>
  <c r="H3" i="2" s="1"/>
  <c r="E15" i="2"/>
  <c r="E16" i="2" s="1"/>
  <c r="E22" i="2" s="1"/>
  <c r="E23" i="2" s="1"/>
  <c r="E12" i="2"/>
  <c r="E20" i="2" s="1"/>
  <c r="E19" i="2"/>
  <c r="H28" i="2" l="1"/>
  <c r="H9" i="2"/>
  <c r="E24" i="2"/>
  <c r="E29" i="2" s="1"/>
  <c r="I2" i="2"/>
  <c r="I3" i="2" s="1"/>
  <c r="F19" i="2"/>
  <c r="F15" i="2"/>
  <c r="F16" i="2" s="1"/>
  <c r="F22" i="2" s="1"/>
  <c r="F12" i="2"/>
  <c r="F20" i="2" s="1"/>
  <c r="G6" i="2"/>
  <c r="G27" i="2"/>
  <c r="G7" i="2"/>
  <c r="G13" i="2"/>
  <c r="G14" i="2" s="1"/>
  <c r="G21" i="2" s="1"/>
  <c r="F14" i="2"/>
  <c r="F21" i="2" s="1"/>
  <c r="F23" i="2" s="1"/>
  <c r="I28" i="2" l="1"/>
  <c r="I9" i="2"/>
  <c r="F24" i="2"/>
  <c r="F29" i="2" s="1"/>
  <c r="F31" i="2" s="1"/>
  <c r="E31" i="2"/>
  <c r="H6" i="2"/>
  <c r="H7" i="2"/>
  <c r="H27" i="2"/>
  <c r="H13" i="2"/>
  <c r="G12" i="2"/>
  <c r="G20" i="2" s="1"/>
  <c r="G15" i="2"/>
  <c r="G16" i="2" s="1"/>
  <c r="G22" i="2" s="1"/>
  <c r="G23" i="2" s="1"/>
  <c r="G19" i="2"/>
  <c r="J2" i="2"/>
  <c r="J3" i="2" s="1"/>
  <c r="J28" i="2" l="1"/>
  <c r="J9" i="2"/>
  <c r="H14" i="2"/>
  <c r="H21" i="2" s="1"/>
  <c r="G24" i="2"/>
  <c r="G29" i="2" s="1"/>
  <c r="K2" i="2"/>
  <c r="K3" i="2" s="1"/>
  <c r="H15" i="2"/>
  <c r="H16" i="2" s="1"/>
  <c r="H22" i="2" s="1"/>
  <c r="H19" i="2"/>
  <c r="H12" i="2"/>
  <c r="H20" i="2" s="1"/>
  <c r="I6" i="2"/>
  <c r="I27" i="2"/>
  <c r="I7" i="2"/>
  <c r="I13" i="2"/>
  <c r="K28" i="2" l="1"/>
  <c r="I14" i="2"/>
  <c r="I21" i="2" s="1"/>
  <c r="K9" i="2"/>
  <c r="H23" i="2"/>
  <c r="H24" i="2" s="1"/>
  <c r="H29" i="2" s="1"/>
  <c r="H31" i="2" s="1"/>
  <c r="G31" i="2"/>
  <c r="I15" i="2"/>
  <c r="I16" i="2" s="1"/>
  <c r="I22" i="2" s="1"/>
  <c r="I23" i="2" s="1"/>
  <c r="I19" i="2"/>
  <c r="I12" i="2"/>
  <c r="I20" i="2" s="1"/>
  <c r="J6" i="2"/>
  <c r="J13" i="2"/>
  <c r="J27" i="2"/>
  <c r="J7" i="2"/>
  <c r="L2" i="2"/>
  <c r="L3" i="2" s="1"/>
  <c r="L28" i="2" l="1"/>
  <c r="L9" i="2"/>
  <c r="I24" i="2"/>
  <c r="I29" i="2" s="1"/>
  <c r="J14" i="2"/>
  <c r="J21" i="2" s="1"/>
  <c r="J12" i="2"/>
  <c r="J20" i="2" s="1"/>
  <c r="J15" i="2"/>
  <c r="J16" i="2" s="1"/>
  <c r="J22" i="2" s="1"/>
  <c r="J19" i="2"/>
  <c r="K6" i="2"/>
  <c r="K7" i="2"/>
  <c r="K13" i="2"/>
  <c r="K14" i="2" s="1"/>
  <c r="K21" i="2" s="1"/>
  <c r="K27" i="2"/>
  <c r="M2" i="2"/>
  <c r="M3" i="2" s="1"/>
  <c r="M28" i="2" l="1"/>
  <c r="M9" i="2"/>
  <c r="I31" i="2"/>
  <c r="J23" i="2"/>
  <c r="J24" i="2" s="1"/>
  <c r="J29" i="2" s="1"/>
  <c r="J31" i="2" s="1"/>
  <c r="L6" i="2"/>
  <c r="L7" i="2"/>
  <c r="L27" i="2"/>
  <c r="L13" i="2"/>
  <c r="L14" i="2" s="1"/>
  <c r="L21" i="2" s="1"/>
  <c r="N2" i="2"/>
  <c r="N3" i="2" s="1"/>
  <c r="K15" i="2"/>
  <c r="K16" i="2" s="1"/>
  <c r="K22" i="2" s="1"/>
  <c r="K23" i="2" s="1"/>
  <c r="K19" i="2"/>
  <c r="K12" i="2"/>
  <c r="K20" i="2" s="1"/>
  <c r="N28" i="2" l="1"/>
  <c r="N9" i="2"/>
  <c r="O2" i="2"/>
  <c r="O3" i="2" s="1"/>
  <c r="K24" i="2"/>
  <c r="K29" i="2" s="1"/>
  <c r="M6" i="2"/>
  <c r="M27" i="2"/>
  <c r="M13" i="2"/>
  <c r="M14" i="2" s="1"/>
  <c r="M21" i="2" s="1"/>
  <c r="M7" i="2"/>
  <c r="L15" i="2"/>
  <c r="L16" i="2" s="1"/>
  <c r="L22" i="2" s="1"/>
  <c r="L23" i="2" s="1"/>
  <c r="L12" i="2"/>
  <c r="L20" i="2" s="1"/>
  <c r="L19" i="2"/>
  <c r="O28" i="2" l="1"/>
  <c r="O9" i="2"/>
  <c r="L24" i="2"/>
  <c r="L29" i="2" s="1"/>
  <c r="L31" i="2" s="1"/>
  <c r="K31" i="2"/>
  <c r="M15" i="2"/>
  <c r="M16" i="2" s="1"/>
  <c r="M22" i="2" s="1"/>
  <c r="M23" i="2" s="1"/>
  <c r="M12" i="2"/>
  <c r="M20" i="2" s="1"/>
  <c r="M19" i="2"/>
  <c r="N6" i="2"/>
  <c r="N27" i="2"/>
  <c r="N13" i="2"/>
  <c r="N7" i="2"/>
  <c r="P2" i="2"/>
  <c r="P3" i="2" s="1"/>
  <c r="P28" i="2" l="1"/>
  <c r="P9" i="2"/>
  <c r="N14" i="2"/>
  <c r="N21" i="2" s="1"/>
  <c r="M24" i="2"/>
  <c r="M29" i="2" s="1"/>
  <c r="M31" i="2" s="1"/>
  <c r="Q2" i="2"/>
  <c r="Q3" i="2" s="1"/>
  <c r="N19" i="2"/>
  <c r="N15" i="2"/>
  <c r="N16" i="2" s="1"/>
  <c r="N22" i="2" s="1"/>
  <c r="N23" i="2" s="1"/>
  <c r="N12" i="2"/>
  <c r="N20" i="2" s="1"/>
  <c r="O6" i="2"/>
  <c r="O13" i="2"/>
  <c r="O27" i="2"/>
  <c r="O7" i="2"/>
  <c r="Q28" i="2" l="1"/>
  <c r="Q9" i="2"/>
  <c r="O14" i="2"/>
  <c r="O21" i="2" s="1"/>
  <c r="N24" i="2"/>
  <c r="N29" i="2" s="1"/>
  <c r="N31" i="2" s="1"/>
  <c r="O19" i="2"/>
  <c r="O15" i="2"/>
  <c r="O16" i="2" s="1"/>
  <c r="O22" i="2" s="1"/>
  <c r="O12" i="2"/>
  <c r="O20" i="2" s="1"/>
  <c r="P6" i="2"/>
  <c r="P7" i="2"/>
  <c r="P27" i="2"/>
  <c r="P13" i="2"/>
  <c r="P14" i="2" s="1"/>
  <c r="P21" i="2" s="1"/>
  <c r="R2" i="2"/>
  <c r="R3" i="2" s="1"/>
  <c r="R28" i="2" l="1"/>
  <c r="R9" i="2"/>
  <c r="O23" i="2"/>
  <c r="O24" i="2" s="1"/>
  <c r="O29" i="2" s="1"/>
  <c r="O31" i="2" s="1"/>
  <c r="P15" i="2"/>
  <c r="P16" i="2" s="1"/>
  <c r="P22" i="2" s="1"/>
  <c r="P23" i="2" s="1"/>
  <c r="P19" i="2"/>
  <c r="P12" i="2"/>
  <c r="P20" i="2" s="1"/>
  <c r="Q6" i="2"/>
  <c r="Q7" i="2"/>
  <c r="Q27" i="2"/>
  <c r="Q13" i="2"/>
  <c r="Q14" i="2" s="1"/>
  <c r="Q21" i="2" s="1"/>
  <c r="S2" i="2"/>
  <c r="S3" i="2" s="1"/>
  <c r="S28" i="2" l="1"/>
  <c r="S9" i="2"/>
  <c r="P24" i="2"/>
  <c r="P29" i="2" s="1"/>
  <c r="P31" i="2" s="1"/>
  <c r="T2" i="2"/>
  <c r="T3" i="2" s="1"/>
  <c r="Q19" i="2"/>
  <c r="Q12" i="2"/>
  <c r="Q20" i="2" s="1"/>
  <c r="Q15" i="2"/>
  <c r="Q16" i="2" s="1"/>
  <c r="Q22" i="2" s="1"/>
  <c r="Q23" i="2" s="1"/>
  <c r="R6" i="2"/>
  <c r="R7" i="2"/>
  <c r="R13" i="2"/>
  <c r="R14" i="2" s="1"/>
  <c r="R21" i="2" s="1"/>
  <c r="R27" i="2"/>
  <c r="T28" i="2" l="1"/>
  <c r="Q24" i="2"/>
  <c r="Q29" i="2" s="1"/>
  <c r="Q31" i="2" s="1"/>
  <c r="T9" i="2"/>
  <c r="R15" i="2"/>
  <c r="R16" i="2" s="1"/>
  <c r="R22" i="2" s="1"/>
  <c r="R23" i="2" s="1"/>
  <c r="R19" i="2"/>
  <c r="R12" i="2"/>
  <c r="R20" i="2" s="1"/>
  <c r="S6" i="2"/>
  <c r="S13" i="2"/>
  <c r="S27" i="2"/>
  <c r="S7" i="2"/>
  <c r="U2" i="2"/>
  <c r="U3" i="2" s="1"/>
  <c r="U28" i="2" l="1"/>
  <c r="S14" i="2"/>
  <c r="S21" i="2" s="1"/>
  <c r="U9" i="2"/>
  <c r="R24" i="2"/>
  <c r="R29" i="2" s="1"/>
  <c r="R31" i="2" s="1"/>
  <c r="T6" i="2"/>
  <c r="T13" i="2"/>
  <c r="T14" i="2" s="1"/>
  <c r="T21" i="2" s="1"/>
  <c r="T27" i="2"/>
  <c r="T7" i="2"/>
  <c r="V2" i="2"/>
  <c r="V3" i="2" s="1"/>
  <c r="S15" i="2"/>
  <c r="S16" i="2" s="1"/>
  <c r="S22" i="2" s="1"/>
  <c r="S23" i="2" s="1"/>
  <c r="S19" i="2"/>
  <c r="S12" i="2"/>
  <c r="S20" i="2" s="1"/>
  <c r="V28" i="2" l="1"/>
  <c r="V9" i="2"/>
  <c r="S24" i="2"/>
  <c r="S29" i="2" s="1"/>
  <c r="S31" i="2" s="1"/>
  <c r="U6" i="2"/>
  <c r="U13" i="2"/>
  <c r="U14" i="2" s="1"/>
  <c r="U21" i="2" s="1"/>
  <c r="U27" i="2"/>
  <c r="U7" i="2"/>
  <c r="W2" i="2"/>
  <c r="W3" i="2" s="1"/>
  <c r="T12" i="2"/>
  <c r="T20" i="2" s="1"/>
  <c r="T15" i="2"/>
  <c r="T16" i="2" s="1"/>
  <c r="T22" i="2" s="1"/>
  <c r="T23" i="2" s="1"/>
  <c r="T19" i="2"/>
  <c r="W28" i="2" l="1"/>
  <c r="W9" i="2"/>
  <c r="T24" i="2"/>
  <c r="T29" i="2" s="1"/>
  <c r="T31" i="2" s="1"/>
  <c r="V6" i="2"/>
  <c r="V13" i="2"/>
  <c r="V27" i="2"/>
  <c r="V7" i="2"/>
  <c r="X2" i="2"/>
  <c r="X3" i="2" s="1"/>
  <c r="U15" i="2"/>
  <c r="U16" i="2" s="1"/>
  <c r="U22" i="2" s="1"/>
  <c r="U23" i="2" s="1"/>
  <c r="U19" i="2"/>
  <c r="U12" i="2"/>
  <c r="U20" i="2" s="1"/>
  <c r="X28" i="2" l="1"/>
  <c r="X9" i="2"/>
  <c r="V14" i="2"/>
  <c r="V21" i="2" s="1"/>
  <c r="U24" i="2"/>
  <c r="U29" i="2" s="1"/>
  <c r="U31" i="2" s="1"/>
  <c r="Y2" i="2"/>
  <c r="Y3" i="2" s="1"/>
  <c r="W6" i="2"/>
  <c r="W27" i="2"/>
  <c r="W7" i="2"/>
  <c r="W13" i="2"/>
  <c r="W14" i="2" s="1"/>
  <c r="W21" i="2" s="1"/>
  <c r="V15" i="2"/>
  <c r="V16" i="2" s="1"/>
  <c r="V22" i="2" s="1"/>
  <c r="V23" i="2" s="1"/>
  <c r="V12" i="2"/>
  <c r="V20" i="2" s="1"/>
  <c r="V19" i="2"/>
  <c r="Y28" i="2" l="1"/>
  <c r="Y9" i="2"/>
  <c r="V24" i="2"/>
  <c r="V29" i="2" s="1"/>
  <c r="V31" i="2" s="1"/>
  <c r="W12" i="2"/>
  <c r="W20" i="2" s="1"/>
  <c r="W19" i="2"/>
  <c r="W15" i="2"/>
  <c r="W16" i="2" s="1"/>
  <c r="W22" i="2" s="1"/>
  <c r="W23" i="2" s="1"/>
  <c r="X6" i="2"/>
  <c r="X7" i="2"/>
  <c r="X27" i="2"/>
  <c r="X13" i="2"/>
  <c r="X14" i="2" s="1"/>
  <c r="X21" i="2" s="1"/>
  <c r="Z2" i="2"/>
  <c r="Z3" i="2" s="1"/>
  <c r="Z28" i="2" l="1"/>
  <c r="Z9" i="2"/>
  <c r="W24" i="2"/>
  <c r="W29" i="2" s="1"/>
  <c r="W31" i="2" s="1"/>
  <c r="AA2" i="2"/>
  <c r="AA3" i="2" s="1"/>
  <c r="X15" i="2"/>
  <c r="X16" i="2" s="1"/>
  <c r="X22" i="2" s="1"/>
  <c r="X23" i="2" s="1"/>
  <c r="X12" i="2"/>
  <c r="X20" i="2" s="1"/>
  <c r="X19" i="2"/>
  <c r="Y6" i="2"/>
  <c r="Y27" i="2"/>
  <c r="Y13" i="2"/>
  <c r="Y7" i="2"/>
  <c r="Y14" i="2" l="1"/>
  <c r="Y21" i="2" s="1"/>
  <c r="AA28" i="2"/>
  <c r="AA9" i="2"/>
  <c r="X24" i="2"/>
  <c r="X29" i="2" s="1"/>
  <c r="X31" i="2" s="1"/>
  <c r="Y19" i="2"/>
  <c r="Y15" i="2"/>
  <c r="Y16" i="2" s="1"/>
  <c r="Y22" i="2" s="1"/>
  <c r="Y23" i="2" s="1"/>
  <c r="Y12" i="2"/>
  <c r="Y20" i="2" s="1"/>
  <c r="Z6" i="2"/>
  <c r="Z7" i="2"/>
  <c r="Z13" i="2"/>
  <c r="Z14" i="2" s="1"/>
  <c r="Z21" i="2" s="1"/>
  <c r="Z27" i="2"/>
  <c r="AB2" i="2"/>
  <c r="AB3" i="2" s="1"/>
  <c r="AB28" i="2" l="1"/>
  <c r="AB9" i="2"/>
  <c r="AA6" i="2"/>
  <c r="AA7" i="2"/>
  <c r="AA13" i="2"/>
  <c r="AA14" i="2" s="1"/>
  <c r="AA21" i="2" s="1"/>
  <c r="AA27" i="2"/>
  <c r="AC2" i="2"/>
  <c r="AC3" i="2" s="1"/>
  <c r="Z19" i="2"/>
  <c r="Z12" i="2"/>
  <c r="Z20" i="2" s="1"/>
  <c r="Z15" i="2"/>
  <c r="Z16" i="2" s="1"/>
  <c r="Z22" i="2" s="1"/>
  <c r="Z23" i="2" s="1"/>
  <c r="Y24" i="2"/>
  <c r="Y29" i="2" s="1"/>
  <c r="Y31" i="2" s="1"/>
  <c r="AC28" i="2" l="1"/>
  <c r="AC9" i="2"/>
  <c r="Z24" i="2"/>
  <c r="Z29" i="2" s="1"/>
  <c r="Z31" i="2" s="1"/>
  <c r="AB6" i="2"/>
  <c r="AB7" i="2"/>
  <c r="AB13" i="2"/>
  <c r="AB14" i="2" s="1"/>
  <c r="AB21" i="2" s="1"/>
  <c r="AB27" i="2"/>
  <c r="AD2" i="2"/>
  <c r="AD3" i="2" s="1"/>
  <c r="AA15" i="2"/>
  <c r="AA16" i="2" s="1"/>
  <c r="AA22" i="2" s="1"/>
  <c r="AA23" i="2" s="1"/>
  <c r="AA19" i="2"/>
  <c r="AA12" i="2"/>
  <c r="AA20" i="2" s="1"/>
  <c r="AD28" i="2" l="1"/>
  <c r="AD9" i="2"/>
  <c r="AA24" i="2"/>
  <c r="AA29" i="2" s="1"/>
  <c r="AC6" i="2"/>
  <c r="AC7" i="2"/>
  <c r="AC13" i="2"/>
  <c r="AC27" i="2"/>
  <c r="AE2" i="2"/>
  <c r="AE3" i="2" s="1"/>
  <c r="AB19" i="2"/>
  <c r="AB12" i="2"/>
  <c r="AB20" i="2" s="1"/>
  <c r="AB15" i="2"/>
  <c r="AB16" i="2" s="1"/>
  <c r="AB22" i="2" s="1"/>
  <c r="AB23" i="2" s="1"/>
  <c r="AE28" i="2" l="1"/>
  <c r="AE9" i="2"/>
  <c r="AC14" i="2"/>
  <c r="AC21" i="2" s="1"/>
  <c r="AA31" i="2"/>
  <c r="AB24" i="2"/>
  <c r="AB29" i="2" s="1"/>
  <c r="AB31" i="2" s="1"/>
  <c r="AD6" i="2"/>
  <c r="AD7" i="2"/>
  <c r="AD13" i="2"/>
  <c r="AD14" i="2" s="1"/>
  <c r="AD21" i="2" s="1"/>
  <c r="AD27" i="2"/>
  <c r="AF2" i="2"/>
  <c r="AF3" i="2" s="1"/>
  <c r="AC15" i="2"/>
  <c r="AC16" i="2" s="1"/>
  <c r="AC22" i="2" s="1"/>
  <c r="AC23" i="2" s="1"/>
  <c r="AC19" i="2"/>
  <c r="AC12" i="2"/>
  <c r="AC20" i="2" s="1"/>
  <c r="AF28" i="2" l="1"/>
  <c r="AF9" i="2"/>
  <c r="AC24" i="2"/>
  <c r="AC29" i="2" s="1"/>
  <c r="AC31" i="2" s="1"/>
  <c r="AE6" i="2"/>
  <c r="AE7" i="2"/>
  <c r="AE27" i="2"/>
  <c r="AE13" i="2"/>
  <c r="AG2" i="2"/>
  <c r="AG3" i="2" s="1"/>
  <c r="AD15" i="2"/>
  <c r="AD16" i="2" s="1"/>
  <c r="AD22" i="2" s="1"/>
  <c r="AD23" i="2" s="1"/>
  <c r="AD12" i="2"/>
  <c r="AD20" i="2" s="1"/>
  <c r="AD19" i="2"/>
  <c r="AG28" i="2" l="1"/>
  <c r="AG9" i="2"/>
  <c r="AD24" i="2"/>
  <c r="AD29" i="2" s="1"/>
  <c r="AD31" i="2" s="1"/>
  <c r="AE14" i="2"/>
  <c r="AE21" i="2" s="1"/>
  <c r="AF6" i="2"/>
  <c r="AF27" i="2"/>
  <c r="AF13" i="2"/>
  <c r="AF14" i="2" s="1"/>
  <c r="AF21" i="2" s="1"/>
  <c r="AF7" i="2"/>
  <c r="AE15" i="2"/>
  <c r="AE16" i="2" s="1"/>
  <c r="AE22" i="2" s="1"/>
  <c r="AE23" i="2" s="1"/>
  <c r="AE19" i="2"/>
  <c r="AE12" i="2"/>
  <c r="AE20" i="2" s="1"/>
  <c r="AE24" i="2" l="1"/>
  <c r="AE29" i="2" s="1"/>
  <c r="AE31" i="2" s="1"/>
  <c r="AG6" i="2"/>
  <c r="AG27" i="2"/>
  <c r="AG13" i="2"/>
  <c r="AG7" i="2"/>
  <c r="AF19" i="2"/>
  <c r="AF12" i="2"/>
  <c r="AF20" i="2" s="1"/>
  <c r="AF15" i="2"/>
  <c r="AF16" i="2" s="1"/>
  <c r="AF22" i="2" s="1"/>
  <c r="AF23" i="2" s="1"/>
  <c r="AG14" i="2" l="1"/>
  <c r="AG21" i="2" s="1"/>
  <c r="AF24" i="2"/>
  <c r="AF29" i="2" s="1"/>
  <c r="AF31" i="2" s="1"/>
  <c r="AG19" i="2"/>
  <c r="AG15" i="2"/>
  <c r="AG16" i="2" s="1"/>
  <c r="AG22" i="2" s="1"/>
  <c r="AG12" i="2"/>
  <c r="AG20" i="2" s="1"/>
  <c r="AG23" i="2" l="1"/>
  <c r="AG24" i="2" s="1"/>
  <c r="AG29" i="2" s="1"/>
  <c r="B20" i="1" s="1"/>
  <c r="B19" i="1" l="1"/>
  <c r="AG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tc={9A246380-0438-4A00-B3C1-1723C6D0B7AC}</author>
    <author>tc={357A5B95-FDAE-48E5-A3DA-13399387621A}</author>
  </authors>
  <commentList>
    <comment ref="A4" authorId="0" shapeId="0" xr:uid="{9A246380-0438-4A00-B3C1-1723C6D0B7AC}">
      <text>
        <t>[Threaded comment]
Your version of Excel allows you to read this threaded comment; however, any edits to it will get removed if the file is opened in a newer version of Excel. Learn more: https://go.microsoft.com/fwlink/?linkid=870924
Comment:
    Vessel Active Meaning the Vessel age is smaller than the Vessel Expect Life (25 years)</t>
      </text>
    </comment>
    <comment ref="A5" authorId="1" shapeId="0" xr:uid="{357A5B95-FDAE-48E5-A3DA-1339938762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Drydock happens every 5 years since the vessel is purchased, and won’t happen during the last 5 years of the vessel life.
First line of the formula use current vessel life divided by 5 years to trigger Drydock Year being True;
Second line of the formula prevent having Drydock in the last 5 year of vessel life.
</t>
      </text>
    </comment>
  </commentList>
</comments>
</file>

<file path=xl/sharedStrings.xml><?xml version="1.0" encoding="utf-8"?>
<sst xmlns="http://schemas.openxmlformats.org/spreadsheetml/2006/main" count="91" uniqueCount="67">
  <si>
    <t>Input Field</t>
  </si>
  <si>
    <t>Value</t>
  </si>
  <si>
    <t>Vessel Purchase Price</t>
  </si>
  <si>
    <t>Vessel Expect Life</t>
  </si>
  <si>
    <t>Vessel Residual Value</t>
  </si>
  <si>
    <t>Revenue per Day</t>
  </si>
  <si>
    <t>Days of a Year</t>
  </si>
  <si>
    <t>Operating Expense (OpEx) per Day</t>
  </si>
  <si>
    <t>Drydock CapEx Cost</t>
  </si>
  <si>
    <t>Upgrades CapEx Cost</t>
  </si>
  <si>
    <t>Upgrade CapEx</t>
  </si>
  <si>
    <t>Drydock CapEx</t>
  </si>
  <si>
    <t>Vessel Purchase Date</t>
  </si>
  <si>
    <t>Drydock Year?</t>
  </si>
  <si>
    <t>Inflation Rate Assumption</t>
  </si>
  <si>
    <t>Vessel Active?</t>
  </si>
  <si>
    <t>Year</t>
  </si>
  <si>
    <t>Drydock Frequency</t>
  </si>
  <si>
    <t>Vessel Age</t>
  </si>
  <si>
    <t>Daily Revenue Rate</t>
  </si>
  <si>
    <t>Daily OpEx Rate</t>
  </si>
  <si>
    <t>Drydock Base</t>
  </si>
  <si>
    <t>Upgrades Base</t>
  </si>
  <si>
    <t>Drydock Inflation Adjusted</t>
  </si>
  <si>
    <t>Upgrades Inflation Adjusted</t>
  </si>
  <si>
    <t>Total CapEx</t>
  </si>
  <si>
    <t>Total Revenue</t>
  </si>
  <si>
    <t>Total OpEx</t>
  </si>
  <si>
    <t>Financials</t>
  </si>
  <si>
    <t>Assumptions</t>
  </si>
  <si>
    <t>Investments</t>
  </si>
  <si>
    <t>Vessel Purchase Price Base</t>
  </si>
  <si>
    <t>Vessel Residual Value Base</t>
  </si>
  <si>
    <t>Output Field</t>
  </si>
  <si>
    <t>NPV</t>
  </si>
  <si>
    <t>IRR</t>
  </si>
  <si>
    <t>Net Cash Flow</t>
  </si>
  <si>
    <t>Vessel Free Cash Flow</t>
  </si>
  <si>
    <t>Daily OpEx Inflation Adjusted</t>
  </si>
  <si>
    <t>Discounted Net Cash Flow</t>
  </si>
  <si>
    <t>Inflation Factor in Year t</t>
  </si>
  <si>
    <t>Discount Rate Factor in Year t</t>
  </si>
  <si>
    <t>Days of the Year</t>
  </si>
  <si>
    <t>Offhire Rate</t>
  </si>
  <si>
    <t>Offhire Rate %</t>
  </si>
  <si>
    <t>Discount Rate Assumption</t>
  </si>
  <si>
    <t>Sample Vessle #1</t>
  </si>
  <si>
    <t>Sample Vessle #2</t>
  </si>
  <si>
    <t>Sample Vessle #3</t>
  </si>
  <si>
    <t>Sample Vessle #4</t>
  </si>
  <si>
    <t>Sample Vessle #5</t>
  </si>
  <si>
    <t>Sample Vessle #6</t>
  </si>
  <si>
    <t>Sample Vessle #7</t>
  </si>
  <si>
    <t>Sample Vessle #8</t>
  </si>
  <si>
    <t>Sample Vessle #9</t>
  </si>
  <si>
    <t>Sample Vessle #10</t>
  </si>
  <si>
    <t>TEU Size</t>
  </si>
  <si>
    <t>LWT</t>
  </si>
  <si>
    <t>-</t>
  </si>
  <si>
    <t>CO2 Carbon Factor</t>
  </si>
  <si>
    <t>Engine</t>
  </si>
  <si>
    <t>LNG DF</t>
  </si>
  <si>
    <t>Conventional</t>
  </si>
  <si>
    <t>Inflation Scenario</t>
  </si>
  <si>
    <t>Inflation Rate Best Case</t>
  </si>
  <si>
    <t>Inflation Rate Base Case</t>
  </si>
  <si>
    <t>Inflation Rate Worst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</si>
</sst>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0&quot; years&quot;"/>
    <numFmt numFmtId="166" formatCode="_-&quot;$&quot;* #,##0_-;\-&quot;$&quot;* #,##0_-;_-&quot;$&quot;* &quot;-&quot;??_-;_-@_-"/>
    <numFmt numFmtId="167" formatCode="_-&quot;$&quot;* #,##0_-;[Red]\-&quot;$&quot;* #,##0_-;_-&quot;$&quot;* &quot;-&quot;??_-;_-@_-"/>
    <numFmt numFmtId="168" formatCode="0.0&quot; years&quot;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2"/>
      <color rgb="FF0000FF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1"/>
      <color theme="1" tint="0.34998626667073579"/>
      <name val="Arial"/>
      <family val="2"/>
    </font>
    <font>
      <b/>
      <sz val="11"/>
      <color theme="1"/>
      <name val="Arial"/>
      <family val="2"/>
    </font>
    <font>
      <b/>
      <sz val="11"/>
      <color theme="1" tint="0.34998626667073579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164" fontId="4" fillId="0" borderId="0" xfId="1" applyNumberFormat="1" applyFont="1"/>
    <xf numFmtId="165" fontId="4" fillId="0" borderId="0" xfId="0" applyNumberFormat="1" applyFont="1"/>
    <xf numFmtId="9" fontId="4" fillId="0" borderId="0" xfId="0" applyNumberFormat="1" applyFont="1"/>
    <xf numFmtId="14" fontId="4" fillId="0" borderId="0" xfId="1" applyNumberFormat="1" applyFont="1"/>
    <xf numFmtId="0" fontId="6" fillId="0" borderId="0" xfId="0" applyFont="1"/>
    <xf numFmtId="14" fontId="6" fillId="0" borderId="0" xfId="0" applyNumberFormat="1" applyFont="1"/>
    <xf numFmtId="164" fontId="6" fillId="0" borderId="0" xfId="1" applyNumberFormat="1" applyFont="1"/>
    <xf numFmtId="9" fontId="6" fillId="0" borderId="0" xfId="3" applyFont="1"/>
    <xf numFmtId="166" fontId="6" fillId="0" borderId="0" xfId="2" applyNumberFormat="1" applyFont="1"/>
    <xf numFmtId="0" fontId="7" fillId="0" borderId="0" xfId="0" applyFont="1" applyAlignment="1">
      <alignment horizontal="left" indent="2"/>
    </xf>
    <xf numFmtId="166" fontId="7" fillId="0" borderId="0" xfId="0" applyNumberFormat="1" applyFont="1"/>
    <xf numFmtId="0" fontId="7" fillId="0" borderId="0" xfId="0" applyFont="1"/>
    <xf numFmtId="0" fontId="8" fillId="0" borderId="0" xfId="0" applyFont="1"/>
    <xf numFmtId="164" fontId="8" fillId="0" borderId="0" xfId="1" applyNumberFormat="1" applyFont="1"/>
    <xf numFmtId="166" fontId="8" fillId="0" borderId="0" xfId="0" applyNumberFormat="1" applyFont="1"/>
    <xf numFmtId="167" fontId="8" fillId="0" borderId="0" xfId="0" applyNumberFormat="1" applyFont="1"/>
    <xf numFmtId="167" fontId="9" fillId="0" borderId="0" xfId="0" applyNumberFormat="1" applyFont="1"/>
    <xf numFmtId="166" fontId="7" fillId="0" borderId="0" xfId="2" applyNumberFormat="1" applyFont="1" applyAlignment="1">
      <alignment horizontal="left" indent="2"/>
    </xf>
    <xf numFmtId="166" fontId="7" fillId="0" borderId="0" xfId="2" applyNumberFormat="1" applyFont="1"/>
    <xf numFmtId="0" fontId="10" fillId="0" borderId="0" xfId="0" applyFont="1" applyAlignment="1">
      <alignment horizontal="left" vertical="center" indent="1"/>
    </xf>
    <xf numFmtId="6" fontId="11" fillId="0" borderId="0" xfId="1" applyNumberFormat="1" applyFont="1"/>
    <xf numFmtId="10" fontId="11" fillId="0" borderId="0" xfId="1" applyNumberFormat="1" applyFont="1"/>
    <xf numFmtId="166" fontId="4" fillId="0" borderId="0" xfId="2" applyNumberFormat="1" applyFont="1"/>
    <xf numFmtId="0" fontId="12" fillId="2" borderId="0" xfId="0" applyFont="1" applyFill="1"/>
    <xf numFmtId="0" fontId="13" fillId="2" borderId="0" xfId="0" applyFont="1" applyFill="1"/>
    <xf numFmtId="14" fontId="13" fillId="2" borderId="0" xfId="0" applyNumberFormat="1" applyFont="1" applyFill="1"/>
    <xf numFmtId="168" fontId="5" fillId="0" borderId="0" xfId="0" applyNumberFormat="1" applyFont="1"/>
    <xf numFmtId="0" fontId="4" fillId="0" borderId="0" xfId="1" applyNumberFormat="1" applyFont="1"/>
    <xf numFmtId="166" fontId="5" fillId="0" borderId="0" xfId="2" applyNumberFormat="1" applyFont="1"/>
    <xf numFmtId="43" fontId="5" fillId="0" borderId="0" xfId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nny Sun" id="{06F57DD9-206B-49B2-9E29-43F019BCDB89}" userId="S::ssun@seaspancorp.com::f658c85a-1c08-4054-956e-6191d71d3fb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6-04-02T23:10:44.41" personId="{06F57DD9-206B-49B2-9E29-43F019BCDB89}" id="{9A246380-0438-4A00-B3C1-1723C6D0B7AC}">
    <text>Vessel Active Meaning the Vessel age is smaller than the Vessel Expect Life (25 years)</text>
  </threadedComment>
  <threadedComment ref="A5" dT="2026-04-02T23:11:05.81" personId="{06F57DD9-206B-49B2-9E29-43F019BCDB89}" id="{357A5B95-FDAE-48E5-A3DA-13399387621A}">
    <text xml:space="preserve">Drydock happens every 5 years since the vessel is purchased, and won’t happen during the last 5 years of the vessel life.
First line of the formula use current vessel life divided by 5 years to trigger Drydock Year being True;
Second line of the formula prevent having Drydock in the last 5 year of vessel life.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069D-4443-4095-8164-81880652CE98}">
  <dimension ref="A1:B27"/>
  <sheetViews>
    <sheetView tabSelected="1" workbookViewId="0">
      <selection activeCell="B2" sqref="B2"/>
    </sheetView>
  </sheetViews>
  <sheetFormatPr defaultRowHeight="15" x14ac:dyDescent="0.25"/>
  <cols>
    <col min="1" max="1" width="37.28515625" bestFit="1" customWidth="1"/>
    <col min="2" max="2" width="18.7109375" bestFit="1" customWidth="1"/>
  </cols>
  <sheetData>
    <row r="1" spans="1:2" ht="15.75" x14ac:dyDescent="0.25">
      <c r="A1" s="1" t="s">
        <v>0</v>
      </c>
      <c r="B1" s="1" t="s">
        <v>1</v>
      </c>
    </row>
    <row r="2" spans="1:2" ht="15.75" x14ac:dyDescent="0.25">
      <c r="A2" s="2" t="s">
        <v>12</v>
      </c>
      <c r="B2" s="6">
        <v>46022</v>
      </c>
    </row>
    <row r="3" spans="1:2" ht="15.75" x14ac:dyDescent="0.25">
      <c r="A3" s="2" t="s">
        <v>2</v>
      </c>
      <c r="B3" s="25">
        <v>100000000</v>
      </c>
    </row>
    <row r="4" spans="1:2" ht="15.75" x14ac:dyDescent="0.25">
      <c r="A4" s="2" t="s">
        <v>3</v>
      </c>
      <c r="B4" s="4">
        <v>25</v>
      </c>
    </row>
    <row r="5" spans="1:2" ht="15.75" x14ac:dyDescent="0.25">
      <c r="A5" s="2" t="s">
        <v>4</v>
      </c>
      <c r="B5" s="25">
        <v>5000000</v>
      </c>
    </row>
    <row r="6" spans="1:2" ht="15.75" x14ac:dyDescent="0.25">
      <c r="A6" s="2" t="s">
        <v>5</v>
      </c>
      <c r="B6" s="25">
        <v>50000</v>
      </c>
    </row>
    <row r="7" spans="1:2" ht="15.75" x14ac:dyDescent="0.25">
      <c r="A7" s="2" t="s">
        <v>6</v>
      </c>
      <c r="B7" s="3">
        <v>365</v>
      </c>
    </row>
    <row r="8" spans="1:2" ht="15.75" x14ac:dyDescent="0.25">
      <c r="A8" s="2" t="s">
        <v>44</v>
      </c>
      <c r="B8" s="5">
        <v>0.02</v>
      </c>
    </row>
    <row r="9" spans="1:2" ht="15.75" x14ac:dyDescent="0.25">
      <c r="A9" s="2" t="s">
        <v>7</v>
      </c>
      <c r="B9" s="25">
        <v>10000</v>
      </c>
    </row>
    <row r="10" spans="1:2" ht="15.75" x14ac:dyDescent="0.25">
      <c r="A10" s="2" t="s">
        <v>8</v>
      </c>
      <c r="B10" s="25">
        <v>5000000</v>
      </c>
    </row>
    <row r="11" spans="1:2" ht="15.75" x14ac:dyDescent="0.25">
      <c r="A11" s="2" t="s">
        <v>17</v>
      </c>
      <c r="B11" s="4">
        <v>5</v>
      </c>
    </row>
    <row r="12" spans="1:2" ht="15.75" x14ac:dyDescent="0.25">
      <c r="A12" s="2" t="s">
        <v>9</v>
      </c>
      <c r="B12" s="25">
        <v>500000</v>
      </c>
    </row>
    <row r="13" spans="1:2" ht="15.75" x14ac:dyDescent="0.25">
      <c r="A13" s="2" t="s">
        <v>14</v>
      </c>
      <c r="B13" s="5">
        <v>0.03</v>
      </c>
    </row>
    <row r="14" spans="1:2" ht="15.75" x14ac:dyDescent="0.25">
      <c r="A14" s="2" t="s">
        <v>45</v>
      </c>
      <c r="B14" s="5">
        <v>0.1</v>
      </c>
    </row>
    <row r="18" spans="1:2" ht="15.75" x14ac:dyDescent="0.25">
      <c r="A18" s="1" t="s">
        <v>33</v>
      </c>
      <c r="B18" s="1" t="s">
        <v>1</v>
      </c>
    </row>
    <row r="19" spans="1:2" ht="15.75" x14ac:dyDescent="0.25">
      <c r="A19" s="22" t="s">
        <v>34</v>
      </c>
      <c r="B19" s="23">
        <f>NPV($B$14,Calculation!$B$29:$AG$29)*(1+$B$14)</f>
        <v>4143625.443278688</v>
      </c>
    </row>
    <row r="20" spans="1:2" ht="15.75" x14ac:dyDescent="0.25">
      <c r="A20" s="22" t="s">
        <v>35</v>
      </c>
      <c r="B20" s="24">
        <f>IRR(Calculation!B29:AG29)</f>
        <v>0.10585531076966781</v>
      </c>
    </row>
    <row r="24" spans="1:2" ht="15.75" x14ac:dyDescent="0.25">
      <c r="A24" s="1" t="s">
        <v>63</v>
      </c>
      <c r="B24" s="1" t="s">
        <v>1</v>
      </c>
    </row>
    <row r="25" spans="1:2" ht="15.75" x14ac:dyDescent="0.25">
      <c r="A25" s="2" t="s">
        <v>64</v>
      </c>
      <c r="B25" s="5">
        <v>0.01</v>
      </c>
    </row>
    <row r="26" spans="1:2" ht="15.75" x14ac:dyDescent="0.25">
      <c r="A26" s="2" t="s">
        <v>65</v>
      </c>
      <c r="B26" s="5">
        <v>0.03</v>
      </c>
    </row>
    <row r="27" spans="1:2" ht="15.75" x14ac:dyDescent="0.25">
      <c r="A27" s="2" t="s">
        <v>66</v>
      </c>
      <c r="B27" s="5"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B3806-0F68-4D15-90F5-807B9D5CD0CD}">
  <dimension ref="A1:AG31"/>
  <sheetViews>
    <sheetView workbookViewId="0">
      <selection activeCell="C26" sqref="C26"/>
    </sheetView>
  </sheetViews>
  <sheetFormatPr defaultColWidth="8.7109375" defaultRowHeight="14.25" x14ac:dyDescent="0.2"/>
  <cols>
    <col min="1" max="1" width="31" style="7" bestFit="1" customWidth="1"/>
    <col min="2" max="2" width="15.140625" style="7" bestFit="1" customWidth="1"/>
    <col min="3" max="6" width="14" style="7" bestFit="1" customWidth="1"/>
    <col min="7" max="7" width="12.7109375" style="7" bestFit="1" customWidth="1"/>
    <col min="8" max="11" width="14" style="7" bestFit="1" customWidth="1"/>
    <col min="12" max="12" width="12.7109375" style="7" bestFit="1" customWidth="1"/>
    <col min="13" max="16" width="14" style="7" bestFit="1" customWidth="1"/>
    <col min="17" max="17" width="12.7109375" style="7" bestFit="1" customWidth="1"/>
    <col min="18" max="21" width="14" style="7" bestFit="1" customWidth="1"/>
    <col min="22" max="22" width="12.7109375" style="7" bestFit="1" customWidth="1"/>
    <col min="23" max="23" width="14" style="7" bestFit="1" customWidth="1"/>
    <col min="24" max="26" width="12.7109375" style="7" bestFit="1" customWidth="1"/>
    <col min="27" max="27" width="14" style="7" bestFit="1" customWidth="1"/>
    <col min="28" max="33" width="11.7109375" style="7" bestFit="1" customWidth="1"/>
    <col min="34" max="16384" width="8.7109375" style="7"/>
  </cols>
  <sheetData>
    <row r="1" spans="1:33" ht="15" x14ac:dyDescent="0.25">
      <c r="A1" s="26" t="s">
        <v>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</row>
    <row r="2" spans="1:33" x14ac:dyDescent="0.2">
      <c r="A2" s="7" t="s">
        <v>16</v>
      </c>
      <c r="B2" s="8">
        <f>'Input &amp; Output (Basic)'!$B$2</f>
        <v>46022</v>
      </c>
      <c r="C2" s="8">
        <f>EOMONTH(B2,12)</f>
        <v>46387</v>
      </c>
      <c r="D2" s="8">
        <f>EOMONTH(C2,12)</f>
        <v>46752</v>
      </c>
      <c r="E2" s="8">
        <f t="shared" ref="E2:AG2" si="0">EOMONTH(D2,12)</f>
        <v>47118</v>
      </c>
      <c r="F2" s="8">
        <f t="shared" si="0"/>
        <v>47483</v>
      </c>
      <c r="G2" s="8">
        <f t="shared" si="0"/>
        <v>47848</v>
      </c>
      <c r="H2" s="8">
        <f t="shared" si="0"/>
        <v>48213</v>
      </c>
      <c r="I2" s="8">
        <f t="shared" si="0"/>
        <v>48579</v>
      </c>
      <c r="J2" s="8">
        <f t="shared" si="0"/>
        <v>48944</v>
      </c>
      <c r="K2" s="8">
        <f t="shared" si="0"/>
        <v>49309</v>
      </c>
      <c r="L2" s="8">
        <f t="shared" si="0"/>
        <v>49674</v>
      </c>
      <c r="M2" s="8">
        <f t="shared" si="0"/>
        <v>50040</v>
      </c>
      <c r="N2" s="8">
        <f t="shared" si="0"/>
        <v>50405</v>
      </c>
      <c r="O2" s="8">
        <f t="shared" si="0"/>
        <v>50770</v>
      </c>
      <c r="P2" s="8">
        <f t="shared" si="0"/>
        <v>51135</v>
      </c>
      <c r="Q2" s="8">
        <f t="shared" si="0"/>
        <v>51501</v>
      </c>
      <c r="R2" s="8">
        <f t="shared" si="0"/>
        <v>51866</v>
      </c>
      <c r="S2" s="8">
        <f t="shared" si="0"/>
        <v>52231</v>
      </c>
      <c r="T2" s="8">
        <f t="shared" si="0"/>
        <v>52596</v>
      </c>
      <c r="U2" s="8">
        <f t="shared" si="0"/>
        <v>52962</v>
      </c>
      <c r="V2" s="8">
        <f t="shared" si="0"/>
        <v>53327</v>
      </c>
      <c r="W2" s="8">
        <f t="shared" si="0"/>
        <v>53692</v>
      </c>
      <c r="X2" s="8">
        <f t="shared" si="0"/>
        <v>54057</v>
      </c>
      <c r="Y2" s="8">
        <f t="shared" si="0"/>
        <v>54423</v>
      </c>
      <c r="Z2" s="8">
        <f t="shared" si="0"/>
        <v>54788</v>
      </c>
      <c r="AA2" s="8">
        <f t="shared" si="0"/>
        <v>55153</v>
      </c>
      <c r="AB2" s="8">
        <f t="shared" si="0"/>
        <v>55518</v>
      </c>
      <c r="AC2" s="8">
        <f t="shared" si="0"/>
        <v>55884</v>
      </c>
      <c r="AD2" s="8">
        <f t="shared" si="0"/>
        <v>56249</v>
      </c>
      <c r="AE2" s="8">
        <f t="shared" si="0"/>
        <v>56614</v>
      </c>
      <c r="AF2" s="8">
        <f t="shared" si="0"/>
        <v>56979</v>
      </c>
      <c r="AG2" s="8">
        <f t="shared" si="0"/>
        <v>57345</v>
      </c>
    </row>
    <row r="3" spans="1:33" ht="15" x14ac:dyDescent="0.2">
      <c r="A3" s="7" t="s">
        <v>18</v>
      </c>
      <c r="B3" s="29">
        <f>ROUND((B$2-'Input &amp; Output (Basic)'!$B$2)/365,0)</f>
        <v>0</v>
      </c>
      <c r="C3" s="29">
        <f>ROUND((C$2-'Input &amp; Output (Basic)'!$B$2)/365,0)</f>
        <v>1</v>
      </c>
      <c r="D3" s="29">
        <f>ROUND((D$2-'Input &amp; Output (Basic)'!$B$2)/365,0)</f>
        <v>2</v>
      </c>
      <c r="E3" s="29">
        <f>ROUND((E$2-'Input &amp; Output (Basic)'!$B$2)/365,0)</f>
        <v>3</v>
      </c>
      <c r="F3" s="29">
        <f>ROUND((F$2-'Input &amp; Output (Basic)'!$B$2)/365,0)</f>
        <v>4</v>
      </c>
      <c r="G3" s="29">
        <f>ROUND((G$2-'Input &amp; Output (Basic)'!$B$2)/365,0)</f>
        <v>5</v>
      </c>
      <c r="H3" s="29">
        <f>ROUND((H$2-'Input &amp; Output (Basic)'!$B$2)/365,0)</f>
        <v>6</v>
      </c>
      <c r="I3" s="29">
        <f>ROUND((I$2-'Input &amp; Output (Basic)'!$B$2)/365,0)</f>
        <v>7</v>
      </c>
      <c r="J3" s="29">
        <f>ROUND((J$2-'Input &amp; Output (Basic)'!$B$2)/365,0)</f>
        <v>8</v>
      </c>
      <c r="K3" s="29">
        <f>ROUND((K$2-'Input &amp; Output (Basic)'!$B$2)/365,0)</f>
        <v>9</v>
      </c>
      <c r="L3" s="29">
        <f>ROUND((L$2-'Input &amp; Output (Basic)'!$B$2)/365,0)</f>
        <v>10</v>
      </c>
      <c r="M3" s="29">
        <f>ROUND((M$2-'Input &amp; Output (Basic)'!$B$2)/365,0)</f>
        <v>11</v>
      </c>
      <c r="N3" s="29">
        <f>ROUND((N$2-'Input &amp; Output (Basic)'!$B$2)/365,0)</f>
        <v>12</v>
      </c>
      <c r="O3" s="29">
        <f>ROUND((O$2-'Input &amp; Output (Basic)'!$B$2)/365,0)</f>
        <v>13</v>
      </c>
      <c r="P3" s="29">
        <f>ROUND((P$2-'Input &amp; Output (Basic)'!$B$2)/365,0)</f>
        <v>14</v>
      </c>
      <c r="Q3" s="29">
        <f>ROUND((Q$2-'Input &amp; Output (Basic)'!$B$2)/365,0)</f>
        <v>15</v>
      </c>
      <c r="R3" s="29">
        <f>ROUND((R$2-'Input &amp; Output (Basic)'!$B$2)/365,0)</f>
        <v>16</v>
      </c>
      <c r="S3" s="29">
        <f>ROUND((S$2-'Input &amp; Output (Basic)'!$B$2)/365,0)</f>
        <v>17</v>
      </c>
      <c r="T3" s="29">
        <f>ROUND((T$2-'Input &amp; Output (Basic)'!$B$2)/365,0)</f>
        <v>18</v>
      </c>
      <c r="U3" s="29">
        <f>ROUND((U$2-'Input &amp; Output (Basic)'!$B$2)/365,0)</f>
        <v>19</v>
      </c>
      <c r="V3" s="29">
        <f>ROUND((V$2-'Input &amp; Output (Basic)'!$B$2)/365,0)</f>
        <v>20</v>
      </c>
      <c r="W3" s="29">
        <f>ROUND((W$2-'Input &amp; Output (Basic)'!$B$2)/365,0)</f>
        <v>21</v>
      </c>
      <c r="X3" s="29">
        <f>ROUND((X$2-'Input &amp; Output (Basic)'!$B$2)/365,0)</f>
        <v>22</v>
      </c>
      <c r="Y3" s="29">
        <f>ROUND((Y$2-'Input &amp; Output (Basic)'!$B$2)/365,0)</f>
        <v>23</v>
      </c>
      <c r="Z3" s="29">
        <f>ROUND((Z$2-'Input &amp; Output (Basic)'!$B$2)/365,0)</f>
        <v>24</v>
      </c>
      <c r="AA3" s="29">
        <f>ROUND((AA$2-'Input &amp; Output (Basic)'!$B$2)/365,0)</f>
        <v>25</v>
      </c>
      <c r="AB3" s="29">
        <f>ROUND((AB$2-'Input &amp; Output (Basic)'!$B$2)/365,0)</f>
        <v>26</v>
      </c>
      <c r="AC3" s="29">
        <f>ROUND((AC$2-'Input &amp; Output (Basic)'!$B$2)/365,0)</f>
        <v>27</v>
      </c>
      <c r="AD3" s="29">
        <f>ROUND((AD$2-'Input &amp; Output (Basic)'!$B$2)/365,0)</f>
        <v>28</v>
      </c>
      <c r="AE3" s="29">
        <f>ROUND((AE$2-'Input &amp; Output (Basic)'!$B$2)/365,0)</f>
        <v>29</v>
      </c>
      <c r="AF3" s="29">
        <f>ROUND((AF$2-'Input &amp; Output (Basic)'!$B$2)/365,0)</f>
        <v>30</v>
      </c>
      <c r="AG3" s="29">
        <f>ROUND((AG$2-'Input &amp; Output (Basic)'!$B$2)/365,0)</f>
        <v>31</v>
      </c>
    </row>
    <row r="4" spans="1:33" x14ac:dyDescent="0.2">
      <c r="A4" s="7" t="s">
        <v>15</v>
      </c>
      <c r="B4" s="7" t="b">
        <f>AND(
B$3&lt;='Input &amp; Output (Basic)'!$B$4,
B$3&lt;&gt;0)</f>
        <v>0</v>
      </c>
      <c r="C4" s="7" t="b">
        <f>AND(
C$3&lt;='Input &amp; Output (Basic)'!$B$4,
C$3&lt;&gt;0)</f>
        <v>1</v>
      </c>
      <c r="D4" s="7" t="b">
        <f>AND(
D$3&lt;='Input &amp; Output (Basic)'!$B$4,
D$3&lt;&gt;0)</f>
        <v>1</v>
      </c>
      <c r="E4" s="7" t="b">
        <f>AND(
E$3&lt;='Input &amp; Output (Basic)'!$B$4,
E$3&lt;&gt;0)</f>
        <v>1</v>
      </c>
      <c r="F4" s="7" t="b">
        <f>AND(
F$3&lt;='Input &amp; Output (Basic)'!$B$4,
F$3&lt;&gt;0)</f>
        <v>1</v>
      </c>
      <c r="G4" s="7" t="b">
        <f>AND(
G$3&lt;='Input &amp; Output (Basic)'!$B$4,
G$3&lt;&gt;0)</f>
        <v>1</v>
      </c>
      <c r="H4" s="7" t="b">
        <f>AND(
H$3&lt;='Input &amp; Output (Basic)'!$B$4,
H$3&lt;&gt;0)</f>
        <v>1</v>
      </c>
      <c r="I4" s="7" t="b">
        <f>AND(
I$3&lt;='Input &amp; Output (Basic)'!$B$4,
I$3&lt;&gt;0)</f>
        <v>1</v>
      </c>
      <c r="J4" s="7" t="b">
        <f>AND(
J$3&lt;='Input &amp; Output (Basic)'!$B$4,
J$3&lt;&gt;0)</f>
        <v>1</v>
      </c>
      <c r="K4" s="7" t="b">
        <f>AND(
K$3&lt;='Input &amp; Output (Basic)'!$B$4,
K$3&lt;&gt;0)</f>
        <v>1</v>
      </c>
      <c r="L4" s="7" t="b">
        <f>AND(
L$3&lt;='Input &amp; Output (Basic)'!$B$4,
L$3&lt;&gt;0)</f>
        <v>1</v>
      </c>
      <c r="M4" s="7" t="b">
        <f>AND(
M$3&lt;='Input &amp; Output (Basic)'!$B$4,
M$3&lt;&gt;0)</f>
        <v>1</v>
      </c>
      <c r="N4" s="7" t="b">
        <f>AND(
N$3&lt;='Input &amp; Output (Basic)'!$B$4,
N$3&lt;&gt;0)</f>
        <v>1</v>
      </c>
      <c r="O4" s="7" t="b">
        <f>AND(
O$3&lt;='Input &amp; Output (Basic)'!$B$4,
O$3&lt;&gt;0)</f>
        <v>1</v>
      </c>
      <c r="P4" s="7" t="b">
        <f>AND(
P$3&lt;='Input &amp; Output (Basic)'!$B$4,
P$3&lt;&gt;0)</f>
        <v>1</v>
      </c>
      <c r="Q4" s="7" t="b">
        <f>AND(
Q$3&lt;='Input &amp; Output (Basic)'!$B$4,
Q$3&lt;&gt;0)</f>
        <v>1</v>
      </c>
      <c r="R4" s="7" t="b">
        <f>AND(
R$3&lt;='Input &amp; Output (Basic)'!$B$4,
R$3&lt;&gt;0)</f>
        <v>1</v>
      </c>
      <c r="S4" s="7" t="b">
        <f>AND(
S$3&lt;='Input &amp; Output (Basic)'!$B$4,
S$3&lt;&gt;0)</f>
        <v>1</v>
      </c>
      <c r="T4" s="7" t="b">
        <f>AND(
T$3&lt;='Input &amp; Output (Basic)'!$B$4,
T$3&lt;&gt;0)</f>
        <v>1</v>
      </c>
      <c r="U4" s="7" t="b">
        <f>AND(
U$3&lt;='Input &amp; Output (Basic)'!$B$4,
U$3&lt;&gt;0)</f>
        <v>1</v>
      </c>
      <c r="V4" s="7" t="b">
        <f>AND(
V$3&lt;='Input &amp; Output (Basic)'!$B$4,
V$3&lt;&gt;0)</f>
        <v>1</v>
      </c>
      <c r="W4" s="7" t="b">
        <f>AND(
W$3&lt;='Input &amp; Output (Basic)'!$B$4,
W$3&lt;&gt;0)</f>
        <v>1</v>
      </c>
      <c r="X4" s="7" t="b">
        <f>AND(
X$3&lt;='Input &amp; Output (Basic)'!$B$4,
X$3&lt;&gt;0)</f>
        <v>1</v>
      </c>
      <c r="Y4" s="7" t="b">
        <f>AND(
Y$3&lt;='Input &amp; Output (Basic)'!$B$4,
Y$3&lt;&gt;0)</f>
        <v>1</v>
      </c>
      <c r="Z4" s="7" t="b">
        <f>AND(
Z$3&lt;='Input &amp; Output (Basic)'!$B$4,
Z$3&lt;&gt;0)</f>
        <v>1</v>
      </c>
      <c r="AA4" s="7" t="b">
        <f>AND(
AA$3&lt;='Input &amp; Output (Basic)'!$B$4,
AA$3&lt;&gt;0)</f>
        <v>1</v>
      </c>
      <c r="AB4" s="7" t="b">
        <f>AND(
AB$3&lt;='Input &amp; Output (Basic)'!$B$4,
AB$3&lt;&gt;0)</f>
        <v>0</v>
      </c>
      <c r="AC4" s="7" t="b">
        <f>AND(
AC$3&lt;='Input &amp; Output (Basic)'!$B$4,
AC$3&lt;&gt;0)</f>
        <v>0</v>
      </c>
      <c r="AD4" s="7" t="b">
        <f>AND(
AD$3&lt;='Input &amp; Output (Basic)'!$B$4,
AD$3&lt;&gt;0)</f>
        <v>0</v>
      </c>
      <c r="AE4" s="7" t="b">
        <f>AND(
AE$3&lt;='Input &amp; Output (Basic)'!$B$4,
AE$3&lt;&gt;0)</f>
        <v>0</v>
      </c>
      <c r="AF4" s="7" t="b">
        <f>AND(
AF$3&lt;='Input &amp; Output (Basic)'!$B$4,
AF$3&lt;&gt;0)</f>
        <v>0</v>
      </c>
      <c r="AG4" s="7" t="b">
        <f>AND(
AG$3&lt;='Input &amp; Output (Basic)'!$B$4,
AG$3&lt;&gt;0)</f>
        <v>0</v>
      </c>
    </row>
    <row r="5" spans="1:33" x14ac:dyDescent="0.2">
      <c r="A5" s="7" t="s">
        <v>13</v>
      </c>
      <c r="B5" s="7" t="b">
        <f>AND(MOD(B$3,5)=0,
('Input &amp; Output (Basic)'!$B$4-B$3&gt;=5),
B$3&lt;&gt;0)</f>
        <v>0</v>
      </c>
      <c r="C5" s="7" t="b">
        <f>AND(MOD(C$3,5)=0,
('Input &amp; Output (Basic)'!$B$4-C$3&gt;=5),
C$3&lt;&gt;0)</f>
        <v>0</v>
      </c>
      <c r="D5" s="7" t="b">
        <f>AND(MOD(D$3,5)=0,
('Input &amp; Output (Basic)'!$B$4-D$3&gt;=5),
D$3&lt;&gt;0)</f>
        <v>0</v>
      </c>
      <c r="E5" s="7" t="b">
        <f>AND(MOD(E$3,5)=0,
('Input &amp; Output (Basic)'!$B$4-E$3&gt;=5),
E$3&lt;&gt;0)</f>
        <v>0</v>
      </c>
      <c r="F5" s="7" t="b">
        <f>AND(MOD(F$3,5)=0,
('Input &amp; Output (Basic)'!$B$4-F$3&gt;=5),
F$3&lt;&gt;0)</f>
        <v>0</v>
      </c>
      <c r="G5" s="7" t="b">
        <f>AND(MOD(G$3,5)=0,
('Input &amp; Output (Basic)'!$B$4-G$3&gt;=5),
G$3&lt;&gt;0)</f>
        <v>1</v>
      </c>
      <c r="H5" s="7" t="b">
        <f>AND(MOD(H$3,5)=0,
('Input &amp; Output (Basic)'!$B$4-H$3&gt;=5),
H$3&lt;&gt;0)</f>
        <v>0</v>
      </c>
      <c r="I5" s="7" t="b">
        <f>AND(MOD(I$3,5)=0,
('Input &amp; Output (Basic)'!$B$4-I$3&gt;=5),
I$3&lt;&gt;0)</f>
        <v>0</v>
      </c>
      <c r="J5" s="7" t="b">
        <f>AND(MOD(J$3,5)=0,
('Input &amp; Output (Basic)'!$B$4-J$3&gt;=5),
J$3&lt;&gt;0)</f>
        <v>0</v>
      </c>
      <c r="K5" s="7" t="b">
        <f>AND(MOD(K$3,5)=0,
('Input &amp; Output (Basic)'!$B$4-K$3&gt;=5),
K$3&lt;&gt;0)</f>
        <v>0</v>
      </c>
      <c r="L5" s="7" t="b">
        <f>AND(MOD(L$3,5)=0,
('Input &amp; Output (Basic)'!$B$4-L$3&gt;=5),
L$3&lt;&gt;0)</f>
        <v>1</v>
      </c>
      <c r="M5" s="7" t="b">
        <f>AND(MOD(M$3,5)=0,
('Input &amp; Output (Basic)'!$B$4-M$3&gt;=5),
M$3&lt;&gt;0)</f>
        <v>0</v>
      </c>
      <c r="N5" s="7" t="b">
        <f>AND(MOD(N$3,5)=0,
('Input &amp; Output (Basic)'!$B$4-N$3&gt;=5),
N$3&lt;&gt;0)</f>
        <v>0</v>
      </c>
      <c r="O5" s="7" t="b">
        <f>AND(MOD(O$3,5)=0,
('Input &amp; Output (Basic)'!$B$4-O$3&gt;=5),
O$3&lt;&gt;0)</f>
        <v>0</v>
      </c>
      <c r="P5" s="7" t="b">
        <f>AND(MOD(P$3,5)=0,
('Input &amp; Output (Basic)'!$B$4-P$3&gt;=5),
P$3&lt;&gt;0)</f>
        <v>0</v>
      </c>
      <c r="Q5" s="7" t="b">
        <f>AND(MOD(Q$3,5)=0,
('Input &amp; Output (Basic)'!$B$4-Q$3&gt;=5),
Q$3&lt;&gt;0)</f>
        <v>1</v>
      </c>
      <c r="R5" s="7" t="b">
        <f>AND(MOD(R$3,5)=0,
('Input &amp; Output (Basic)'!$B$4-R$3&gt;=5),
R$3&lt;&gt;0)</f>
        <v>0</v>
      </c>
      <c r="S5" s="7" t="b">
        <f>AND(MOD(S$3,5)=0,
('Input &amp; Output (Basic)'!$B$4-S$3&gt;=5),
S$3&lt;&gt;0)</f>
        <v>0</v>
      </c>
      <c r="T5" s="7" t="b">
        <f>AND(MOD(T$3,5)=0,
('Input &amp; Output (Basic)'!$B$4-T$3&gt;=5),
T$3&lt;&gt;0)</f>
        <v>0</v>
      </c>
      <c r="U5" s="7" t="b">
        <f>AND(MOD(U$3,5)=0,
('Input &amp; Output (Basic)'!$B$4-U$3&gt;=5),
U$3&lt;&gt;0)</f>
        <v>0</v>
      </c>
      <c r="V5" s="7" t="b">
        <f>AND(MOD(V$3,5)=0,
('Input &amp; Output (Basic)'!$B$4-V$3&gt;=5),
V$3&lt;&gt;0)</f>
        <v>1</v>
      </c>
      <c r="W5" s="7" t="b">
        <f>AND(MOD(W$3,5)=0,
('Input &amp; Output (Basic)'!$B$4-W$3&gt;=5),
W$3&lt;&gt;0)</f>
        <v>0</v>
      </c>
      <c r="X5" s="7" t="b">
        <f>AND(MOD(X$3,5)=0,
('Input &amp; Output (Basic)'!$B$4-X$3&gt;=5),
X$3&lt;&gt;0)</f>
        <v>0</v>
      </c>
      <c r="Y5" s="7" t="b">
        <f>AND(MOD(Y$3,5)=0,
('Input &amp; Output (Basic)'!$B$4-Y$3&gt;=5),
Y$3&lt;&gt;0)</f>
        <v>0</v>
      </c>
      <c r="Z5" s="7" t="b">
        <f>AND(MOD(Z$3,5)=0,
('Input &amp; Output (Basic)'!$B$4-Z$3&gt;=5),
Z$3&lt;&gt;0)</f>
        <v>0</v>
      </c>
      <c r="AA5" s="7" t="b">
        <f>AND(MOD(AA$3,5)=0,
('Input &amp; Output (Basic)'!$B$4-AA$3&gt;=5),
AA$3&lt;&gt;0)</f>
        <v>0</v>
      </c>
      <c r="AB5" s="7" t="b">
        <f>AND(MOD(AB$3,5)=0,
('Input &amp; Output (Basic)'!$B$4-AB$3&gt;=5),
AB$3&lt;&gt;0)</f>
        <v>0</v>
      </c>
      <c r="AC5" s="7" t="b">
        <f>AND(MOD(AC$3,5)=0,
('Input &amp; Output (Basic)'!$B$4-AC$3&gt;=5),
AC$3&lt;&gt;0)</f>
        <v>0</v>
      </c>
      <c r="AD5" s="7" t="b">
        <f>AND(MOD(AD$3,5)=0,
('Input &amp; Output (Basic)'!$B$4-AD$3&gt;=5),
AD$3&lt;&gt;0)</f>
        <v>0</v>
      </c>
      <c r="AE5" s="7" t="b">
        <f>AND(MOD(AE$3,5)=0,
('Input &amp; Output (Basic)'!$B$4-AE$3&gt;=5),
AE$3&lt;&gt;0)</f>
        <v>0</v>
      </c>
      <c r="AF5" s="7" t="b">
        <f>AND(MOD(AF$3,5)=0,
('Input &amp; Output (Basic)'!$B$4-AF$3&gt;=5),
AF$3&lt;&gt;0)</f>
        <v>0</v>
      </c>
      <c r="AG5" s="7" t="b">
        <f>AND(MOD(AG$3,5)=0,
('Input &amp; Output (Basic)'!$B$4-AG$3&gt;=5),
AG$3&lt;&gt;0)</f>
        <v>0</v>
      </c>
    </row>
    <row r="6" spans="1:33" x14ac:dyDescent="0.2">
      <c r="A6" s="7" t="s">
        <v>40</v>
      </c>
      <c r="B6" s="10">
        <f>(1+'Input &amp; Output (Basic)'!$B$13)^B$3</f>
        <v>1</v>
      </c>
      <c r="C6" s="10">
        <f>(1+'Input &amp; Output (Basic)'!$B$13)^C$3</f>
        <v>1.03</v>
      </c>
      <c r="D6" s="10">
        <f>(1+'Input &amp; Output (Basic)'!$B$13)^D$3</f>
        <v>1.0609</v>
      </c>
      <c r="E6" s="10">
        <f>(1+'Input &amp; Output (Basic)'!$B$13)^E$3</f>
        <v>1.092727</v>
      </c>
      <c r="F6" s="10">
        <f>(1+'Input &amp; Output (Basic)'!$B$13)^F$3</f>
        <v>1.1255088099999999</v>
      </c>
      <c r="G6" s="10">
        <f>(1+'Input &amp; Output (Basic)'!$B$13)^G$3</f>
        <v>1.1592740742999998</v>
      </c>
      <c r="H6" s="10">
        <f>(1+'Input &amp; Output (Basic)'!$B$13)^H$3</f>
        <v>1.1940522965289999</v>
      </c>
      <c r="I6" s="10">
        <f>(1+'Input &amp; Output (Basic)'!$B$13)^I$3</f>
        <v>1.22987386542487</v>
      </c>
      <c r="J6" s="10">
        <f>(1+'Input &amp; Output (Basic)'!$B$13)^J$3</f>
        <v>1.2667700813876159</v>
      </c>
      <c r="K6" s="10">
        <f>(1+'Input &amp; Output (Basic)'!$B$13)^K$3</f>
        <v>1.3047731838292445</v>
      </c>
      <c r="L6" s="10">
        <f>(1+'Input &amp; Output (Basic)'!$B$13)^L$3</f>
        <v>1.3439163793441218</v>
      </c>
      <c r="M6" s="10">
        <f>(1+'Input &amp; Output (Basic)'!$B$13)^M$3</f>
        <v>1.3842338707244455</v>
      </c>
      <c r="N6" s="10">
        <f>(1+'Input &amp; Output (Basic)'!$B$13)^N$3</f>
        <v>1.4257608868461786</v>
      </c>
      <c r="O6" s="10">
        <f>(1+'Input &amp; Output (Basic)'!$B$13)^O$3</f>
        <v>1.4685337134515639</v>
      </c>
      <c r="P6" s="10">
        <f>(1+'Input &amp; Output (Basic)'!$B$13)^P$3</f>
        <v>1.512589724855111</v>
      </c>
      <c r="Q6" s="10">
        <f>(1+'Input &amp; Output (Basic)'!$B$13)^Q$3</f>
        <v>1.5579674166007644</v>
      </c>
      <c r="R6" s="10">
        <f>(1+'Input &amp; Output (Basic)'!$B$13)^R$3</f>
        <v>1.6047064390987871</v>
      </c>
      <c r="S6" s="10">
        <f>(1+'Input &amp; Output (Basic)'!$B$13)^S$3</f>
        <v>1.6528476322717507</v>
      </c>
      <c r="T6" s="10">
        <f>(1+'Input &amp; Output (Basic)'!$B$13)^T$3</f>
        <v>1.7024330612399032</v>
      </c>
      <c r="U6" s="10">
        <f>(1+'Input &amp; Output (Basic)'!$B$13)^U$3</f>
        <v>1.7535060530771003</v>
      </c>
      <c r="V6" s="10">
        <f>(1+'Input &amp; Output (Basic)'!$B$13)^V$3</f>
        <v>1.8061112346694133</v>
      </c>
      <c r="W6" s="10">
        <f>(1+'Input &amp; Output (Basic)'!$B$13)^W$3</f>
        <v>1.8602945717094954</v>
      </c>
      <c r="X6" s="10">
        <f>(1+'Input &amp; Output (Basic)'!$B$13)^X$3</f>
        <v>1.9161034088607805</v>
      </c>
      <c r="Y6" s="10">
        <f>(1+'Input &amp; Output (Basic)'!$B$13)^Y$3</f>
        <v>1.973586511126604</v>
      </c>
      <c r="Z6" s="10">
        <f>(1+'Input &amp; Output (Basic)'!$B$13)^Z$3</f>
        <v>2.0327941064604018</v>
      </c>
      <c r="AA6" s="10">
        <f>(1+'Input &amp; Output (Basic)'!$B$13)^AA$3</f>
        <v>2.0937779296542138</v>
      </c>
      <c r="AB6" s="10">
        <f>(1+'Input &amp; Output (Basic)'!$B$13)^AB$3</f>
        <v>2.1565912675438406</v>
      </c>
      <c r="AC6" s="10">
        <f>(1+'Input &amp; Output (Basic)'!$B$13)^AC$3</f>
        <v>2.2212890055701555</v>
      </c>
      <c r="AD6" s="10">
        <f>(1+'Input &amp; Output (Basic)'!$B$13)^AD$3</f>
        <v>2.2879276757372602</v>
      </c>
      <c r="AE6" s="10">
        <f>(1+'Input &amp; Output (Basic)'!$B$13)^AE$3</f>
        <v>2.3565655060093778</v>
      </c>
      <c r="AF6" s="10">
        <f>(1+'Input &amp; Output (Basic)'!$B$13)^AF$3</f>
        <v>2.4272624711896591</v>
      </c>
      <c r="AG6" s="10">
        <f>(1+'Input &amp; Output (Basic)'!$B$13)^AG$3</f>
        <v>2.5000803453253493</v>
      </c>
    </row>
    <row r="7" spans="1:33" x14ac:dyDescent="0.2">
      <c r="A7" s="7" t="s">
        <v>41</v>
      </c>
      <c r="B7" s="10">
        <f>(1+'Input &amp; Output (Basic)'!$B$14)^B$3</f>
        <v>1</v>
      </c>
      <c r="C7" s="10">
        <f>(1+'Input &amp; Output (Basic)'!$B$14)^C$3</f>
        <v>1.1000000000000001</v>
      </c>
      <c r="D7" s="10">
        <f>(1+'Input &amp; Output (Basic)'!$B$14)^D$3</f>
        <v>1.2100000000000002</v>
      </c>
      <c r="E7" s="10">
        <f>(1+'Input &amp; Output (Basic)'!$B$14)^E$3</f>
        <v>1.3310000000000004</v>
      </c>
      <c r="F7" s="10">
        <f>(1+'Input &amp; Output (Basic)'!$B$14)^F$3</f>
        <v>1.4641000000000004</v>
      </c>
      <c r="G7" s="10">
        <f>(1+'Input &amp; Output (Basic)'!$B$14)^G$3</f>
        <v>1.6105100000000006</v>
      </c>
      <c r="H7" s="10">
        <f>(1+'Input &amp; Output (Basic)'!$B$14)^H$3</f>
        <v>1.7715610000000008</v>
      </c>
      <c r="I7" s="10">
        <f>(1+'Input &amp; Output (Basic)'!$B$14)^I$3</f>
        <v>1.9487171000000012</v>
      </c>
      <c r="J7" s="10">
        <f>(1+'Input &amp; Output (Basic)'!$B$14)^J$3</f>
        <v>2.1435888100000011</v>
      </c>
      <c r="K7" s="10">
        <f>(1+'Input &amp; Output (Basic)'!$B$14)^K$3</f>
        <v>2.3579476910000015</v>
      </c>
      <c r="L7" s="10">
        <f>(1+'Input &amp; Output (Basic)'!$B$14)^L$3</f>
        <v>2.5937424601000019</v>
      </c>
      <c r="M7" s="10">
        <f>(1+'Input &amp; Output (Basic)'!$B$14)^M$3</f>
        <v>2.8531167061100025</v>
      </c>
      <c r="N7" s="10">
        <f>(1+'Input &amp; Output (Basic)'!$B$14)^N$3</f>
        <v>3.1384283767210026</v>
      </c>
      <c r="O7" s="10">
        <f>(1+'Input &amp; Output (Basic)'!$B$14)^O$3</f>
        <v>3.4522712143931029</v>
      </c>
      <c r="P7" s="10">
        <f>(1+'Input &amp; Output (Basic)'!$B$14)^P$3</f>
        <v>3.7974983358324139</v>
      </c>
      <c r="Q7" s="10">
        <f>(1+'Input &amp; Output (Basic)'!$B$14)^Q$3</f>
        <v>4.1772481694156554</v>
      </c>
      <c r="R7" s="10">
        <f>(1+'Input &amp; Output (Basic)'!$B$14)^R$3</f>
        <v>4.5949729863572211</v>
      </c>
      <c r="S7" s="10">
        <f>(1+'Input &amp; Output (Basic)'!$B$14)^S$3</f>
        <v>5.0544702849929433</v>
      </c>
      <c r="T7" s="10">
        <f>(1+'Input &amp; Output (Basic)'!$B$14)^T$3</f>
        <v>5.5599173134922379</v>
      </c>
      <c r="U7" s="10">
        <f>(1+'Input &amp; Output (Basic)'!$B$14)^U$3</f>
        <v>6.1159090448414632</v>
      </c>
      <c r="V7" s="10">
        <f>(1+'Input &amp; Output (Basic)'!$B$14)^V$3</f>
        <v>6.7274999493256091</v>
      </c>
      <c r="W7" s="10">
        <f>(1+'Input &amp; Output (Basic)'!$B$14)^W$3</f>
        <v>7.4002499442581708</v>
      </c>
      <c r="X7" s="10">
        <f>(1+'Input &amp; Output (Basic)'!$B$14)^X$3</f>
        <v>8.140274938683989</v>
      </c>
      <c r="Y7" s="10">
        <f>(1+'Input &amp; Output (Basic)'!$B$14)^Y$3</f>
        <v>8.9543024325523888</v>
      </c>
      <c r="Z7" s="10">
        <f>(1+'Input &amp; Output (Basic)'!$B$14)^Z$3</f>
        <v>9.8497326758076262</v>
      </c>
      <c r="AA7" s="10">
        <f>(1+'Input &amp; Output (Basic)'!$B$14)^AA$3</f>
        <v>10.834705943388391</v>
      </c>
      <c r="AB7" s="10">
        <f>(1+'Input &amp; Output (Basic)'!$B$14)^AB$3</f>
        <v>11.918176537727231</v>
      </c>
      <c r="AC7" s="10">
        <f>(1+'Input &amp; Output (Basic)'!$B$14)^AC$3</f>
        <v>13.109994191499956</v>
      </c>
      <c r="AD7" s="10">
        <f>(1+'Input &amp; Output (Basic)'!$B$14)^AD$3</f>
        <v>14.420993610649951</v>
      </c>
      <c r="AE7" s="10">
        <f>(1+'Input &amp; Output (Basic)'!$B$14)^AE$3</f>
        <v>15.863092971714947</v>
      </c>
      <c r="AF7" s="10">
        <f>(1+'Input &amp; Output (Basic)'!$B$14)^AF$3</f>
        <v>17.449402268886445</v>
      </c>
      <c r="AG7" s="10">
        <f>(1+'Input &amp; Output (Basic)'!$B$14)^AG$3</f>
        <v>19.194342495775089</v>
      </c>
    </row>
    <row r="8" spans="1:33" x14ac:dyDescent="0.2">
      <c r="A8" s="7" t="s">
        <v>43</v>
      </c>
      <c r="B8" s="10">
        <f>'Input &amp; Output (Basic)'!$B$8</f>
        <v>0.02</v>
      </c>
      <c r="C8" s="10">
        <f>'Input &amp; Output (Basic)'!$B$8</f>
        <v>0.02</v>
      </c>
      <c r="D8" s="10">
        <f>'Input &amp; Output (Basic)'!$B$8</f>
        <v>0.02</v>
      </c>
      <c r="E8" s="10">
        <f>'Input &amp; Output (Basic)'!$B$8</f>
        <v>0.02</v>
      </c>
      <c r="F8" s="10">
        <f>'Input &amp; Output (Basic)'!$B$8</f>
        <v>0.02</v>
      </c>
      <c r="G8" s="10">
        <f>'Input &amp; Output (Basic)'!$B$8</f>
        <v>0.02</v>
      </c>
      <c r="H8" s="10">
        <f>'Input &amp; Output (Basic)'!$B$8</f>
        <v>0.02</v>
      </c>
      <c r="I8" s="10">
        <f>'Input &amp; Output (Basic)'!$B$8</f>
        <v>0.02</v>
      </c>
      <c r="J8" s="10">
        <f>'Input &amp; Output (Basic)'!$B$8</f>
        <v>0.02</v>
      </c>
      <c r="K8" s="10">
        <f>'Input &amp; Output (Basic)'!$B$8</f>
        <v>0.02</v>
      </c>
      <c r="L8" s="10">
        <f>'Input &amp; Output (Basic)'!$B$8</f>
        <v>0.02</v>
      </c>
      <c r="M8" s="10">
        <f>'Input &amp; Output (Basic)'!$B$8</f>
        <v>0.02</v>
      </c>
      <c r="N8" s="10">
        <f>'Input &amp; Output (Basic)'!$B$8</f>
        <v>0.02</v>
      </c>
      <c r="O8" s="10">
        <f>'Input &amp; Output (Basic)'!$B$8</f>
        <v>0.02</v>
      </c>
      <c r="P8" s="10">
        <f>'Input &amp; Output (Basic)'!$B$8</f>
        <v>0.02</v>
      </c>
      <c r="Q8" s="10">
        <f>'Input &amp; Output (Basic)'!$B$8</f>
        <v>0.02</v>
      </c>
      <c r="R8" s="10">
        <f>'Input &amp; Output (Basic)'!$B$8</f>
        <v>0.02</v>
      </c>
      <c r="S8" s="10">
        <f>'Input &amp; Output (Basic)'!$B$8</f>
        <v>0.02</v>
      </c>
      <c r="T8" s="10">
        <f>'Input &amp; Output (Basic)'!$B$8</f>
        <v>0.02</v>
      </c>
      <c r="U8" s="10">
        <f>'Input &amp; Output (Basic)'!$B$8</f>
        <v>0.02</v>
      </c>
      <c r="V8" s="10">
        <f>'Input &amp; Output (Basic)'!$B$8</f>
        <v>0.02</v>
      </c>
      <c r="W8" s="10">
        <f>'Input &amp; Output (Basic)'!$B$8</f>
        <v>0.02</v>
      </c>
      <c r="X8" s="10">
        <f>'Input &amp; Output (Basic)'!$B$8</f>
        <v>0.02</v>
      </c>
      <c r="Y8" s="10">
        <f>'Input &amp; Output (Basic)'!$B$8</f>
        <v>0.02</v>
      </c>
      <c r="Z8" s="10">
        <f>'Input &amp; Output (Basic)'!$B$8</f>
        <v>0.02</v>
      </c>
      <c r="AA8" s="10">
        <f>'Input &amp; Output (Basic)'!$B$8</f>
        <v>0.02</v>
      </c>
      <c r="AB8" s="10">
        <f>'Input &amp; Output (Basic)'!$B$8</f>
        <v>0.02</v>
      </c>
      <c r="AC8" s="10">
        <f>'Input &amp; Output (Basic)'!$B$8</f>
        <v>0.02</v>
      </c>
      <c r="AD8" s="10">
        <f>'Input &amp; Output (Basic)'!$B$8</f>
        <v>0.02</v>
      </c>
      <c r="AE8" s="10">
        <f>'Input &amp; Output (Basic)'!$B$8</f>
        <v>0.02</v>
      </c>
      <c r="AF8" s="10">
        <f>'Input &amp; Output (Basic)'!$B$8</f>
        <v>0.02</v>
      </c>
      <c r="AG8" s="10">
        <f>'Input &amp; Output (Basic)'!$B$8</f>
        <v>0.02</v>
      </c>
    </row>
    <row r="9" spans="1:33" x14ac:dyDescent="0.2">
      <c r="A9" s="7" t="s">
        <v>42</v>
      </c>
      <c r="B9" s="9">
        <f>MIN('Input &amp; Output (Basic)'!$B$7,B$2-'Input &amp; Output (Basic)'!$B$2)</f>
        <v>0</v>
      </c>
      <c r="C9" s="9">
        <f>MIN('Input &amp; Output (Basic)'!$B$7,C$2-'Input &amp; Output (Basic)'!$B$2)</f>
        <v>365</v>
      </c>
      <c r="D9" s="9">
        <f>MIN('Input &amp; Output (Basic)'!$B$7,D$2-'Input &amp; Output (Basic)'!$B$2)</f>
        <v>365</v>
      </c>
      <c r="E9" s="9">
        <f>MIN('Input &amp; Output (Basic)'!$B$7,E$2-'Input &amp; Output (Basic)'!$B$2)</f>
        <v>365</v>
      </c>
      <c r="F9" s="9">
        <f>MIN('Input &amp; Output (Basic)'!$B$7,F$2-'Input &amp; Output (Basic)'!$B$2)</f>
        <v>365</v>
      </c>
      <c r="G9" s="9">
        <f>MIN('Input &amp; Output (Basic)'!$B$7,G$2-'Input &amp; Output (Basic)'!$B$2)</f>
        <v>365</v>
      </c>
      <c r="H9" s="9">
        <f>MIN('Input &amp; Output (Basic)'!$B$7,H$2-'Input &amp; Output (Basic)'!$B$2)</f>
        <v>365</v>
      </c>
      <c r="I9" s="9">
        <f>MIN('Input &amp; Output (Basic)'!$B$7,I$2-'Input &amp; Output (Basic)'!$B$2)</f>
        <v>365</v>
      </c>
      <c r="J9" s="9">
        <f>MIN('Input &amp; Output (Basic)'!$B$7,J$2-'Input &amp; Output (Basic)'!$B$2)</f>
        <v>365</v>
      </c>
      <c r="K9" s="9">
        <f>MIN('Input &amp; Output (Basic)'!$B$7,K$2-'Input &amp; Output (Basic)'!$B$2)</f>
        <v>365</v>
      </c>
      <c r="L9" s="9">
        <f>MIN('Input &amp; Output (Basic)'!$B$7,L$2-'Input &amp; Output (Basic)'!$B$2)</f>
        <v>365</v>
      </c>
      <c r="M9" s="9">
        <f>MIN('Input &amp; Output (Basic)'!$B$7,M$2-'Input &amp; Output (Basic)'!$B$2)</f>
        <v>365</v>
      </c>
      <c r="N9" s="9">
        <f>MIN('Input &amp; Output (Basic)'!$B$7,N$2-'Input &amp; Output (Basic)'!$B$2)</f>
        <v>365</v>
      </c>
      <c r="O9" s="9">
        <f>MIN('Input &amp; Output (Basic)'!$B$7,O$2-'Input &amp; Output (Basic)'!$B$2)</f>
        <v>365</v>
      </c>
      <c r="P9" s="9">
        <f>MIN('Input &amp; Output (Basic)'!$B$7,P$2-'Input &amp; Output (Basic)'!$B$2)</f>
        <v>365</v>
      </c>
      <c r="Q9" s="9">
        <f>MIN('Input &amp; Output (Basic)'!$B$7,Q$2-'Input &amp; Output (Basic)'!$B$2)</f>
        <v>365</v>
      </c>
      <c r="R9" s="9">
        <f>MIN('Input &amp; Output (Basic)'!$B$7,R$2-'Input &amp; Output (Basic)'!$B$2)</f>
        <v>365</v>
      </c>
      <c r="S9" s="9">
        <f>MIN('Input &amp; Output (Basic)'!$B$7,S$2-'Input &amp; Output (Basic)'!$B$2)</f>
        <v>365</v>
      </c>
      <c r="T9" s="9">
        <f>MIN('Input &amp; Output (Basic)'!$B$7,T$2-'Input &amp; Output (Basic)'!$B$2)</f>
        <v>365</v>
      </c>
      <c r="U9" s="9">
        <f>MIN('Input &amp; Output (Basic)'!$B$7,U$2-'Input &amp; Output (Basic)'!$B$2)</f>
        <v>365</v>
      </c>
      <c r="V9" s="9">
        <f>MIN('Input &amp; Output (Basic)'!$B$7,V$2-'Input &amp; Output (Basic)'!$B$2)</f>
        <v>365</v>
      </c>
      <c r="W9" s="9">
        <f>MIN('Input &amp; Output (Basic)'!$B$7,W$2-'Input &amp; Output (Basic)'!$B$2)</f>
        <v>365</v>
      </c>
      <c r="X9" s="9">
        <f>MIN('Input &amp; Output (Basic)'!$B$7,X$2-'Input &amp; Output (Basic)'!$B$2)</f>
        <v>365</v>
      </c>
      <c r="Y9" s="9">
        <f>MIN('Input &amp; Output (Basic)'!$B$7,Y$2-'Input &amp; Output (Basic)'!$B$2)</f>
        <v>365</v>
      </c>
      <c r="Z9" s="9">
        <f>MIN('Input &amp; Output (Basic)'!$B$7,Z$2-'Input &amp; Output (Basic)'!$B$2)</f>
        <v>365</v>
      </c>
      <c r="AA9" s="9">
        <f>MIN('Input &amp; Output (Basic)'!$B$7,AA$2-'Input &amp; Output (Basic)'!$B$2)</f>
        <v>365</v>
      </c>
      <c r="AB9" s="9">
        <f>MIN('Input &amp; Output (Basic)'!$B$7,AB$2-'Input &amp; Output (Basic)'!$B$2)</f>
        <v>365</v>
      </c>
      <c r="AC9" s="9">
        <f>MIN('Input &amp; Output (Basic)'!$B$7,AC$2-'Input &amp; Output (Basic)'!$B$2)</f>
        <v>365</v>
      </c>
      <c r="AD9" s="9">
        <f>MIN('Input &amp; Output (Basic)'!$B$7,AD$2-'Input &amp; Output (Basic)'!$B$2)</f>
        <v>365</v>
      </c>
      <c r="AE9" s="9">
        <f>MIN('Input &amp; Output (Basic)'!$B$7,AE$2-'Input &amp; Output (Basic)'!$B$2)</f>
        <v>365</v>
      </c>
      <c r="AF9" s="9">
        <f>MIN('Input &amp; Output (Basic)'!$B$7,AF$2-'Input &amp; Output (Basic)'!$B$2)</f>
        <v>365</v>
      </c>
      <c r="AG9" s="9">
        <f>MIN('Input &amp; Output (Basic)'!$B$7,AG$2-'Input &amp; Output (Basic)'!$B$2)</f>
        <v>365</v>
      </c>
    </row>
    <row r="10" spans="1:33" s="11" customFormat="1" x14ac:dyDescent="0.2">
      <c r="A10" s="11" t="s">
        <v>19</v>
      </c>
      <c r="B10" s="11">
        <f>'Input &amp; Output (Basic)'!$B$6*B$4*(1-B$8)</f>
        <v>0</v>
      </c>
      <c r="C10" s="11">
        <f>'Input &amp; Output (Basic)'!$B$6*C$4*(1-C$8)</f>
        <v>49000</v>
      </c>
      <c r="D10" s="11">
        <f>'Input &amp; Output (Basic)'!$B$6*D$4*(1-D$8)</f>
        <v>49000</v>
      </c>
      <c r="E10" s="11">
        <f>'Input &amp; Output (Basic)'!$B$6*E$4*(1-E$8)</f>
        <v>49000</v>
      </c>
      <c r="F10" s="11">
        <f>'Input &amp; Output (Basic)'!$B$6*F$4*(1-F$8)</f>
        <v>49000</v>
      </c>
      <c r="G10" s="11">
        <f>'Input &amp; Output (Basic)'!$B$6*G$4*(1-G$8)</f>
        <v>49000</v>
      </c>
      <c r="H10" s="11">
        <f>'Input &amp; Output (Basic)'!$B$6*H$4*(1-H$8)</f>
        <v>49000</v>
      </c>
      <c r="I10" s="11">
        <f>'Input &amp; Output (Basic)'!$B$6*I$4*(1-I$8)</f>
        <v>49000</v>
      </c>
      <c r="J10" s="11">
        <f>'Input &amp; Output (Basic)'!$B$6*J$4*(1-J$8)</f>
        <v>49000</v>
      </c>
      <c r="K10" s="11">
        <f>'Input &amp; Output (Basic)'!$B$6*K$4*(1-K$8)</f>
        <v>49000</v>
      </c>
      <c r="L10" s="11">
        <f>'Input &amp; Output (Basic)'!$B$6*L$4*(1-L$8)</f>
        <v>49000</v>
      </c>
      <c r="M10" s="11">
        <f>'Input &amp; Output (Basic)'!$B$6*M$4*(1-M$8)</f>
        <v>49000</v>
      </c>
      <c r="N10" s="11">
        <f>'Input &amp; Output (Basic)'!$B$6*N$4*(1-N$8)</f>
        <v>49000</v>
      </c>
      <c r="O10" s="11">
        <f>'Input &amp; Output (Basic)'!$B$6*O$4*(1-O$8)</f>
        <v>49000</v>
      </c>
      <c r="P10" s="11">
        <f>'Input &amp; Output (Basic)'!$B$6*P$4*(1-P$8)</f>
        <v>49000</v>
      </c>
      <c r="Q10" s="11">
        <f>'Input &amp; Output (Basic)'!$B$6*Q$4*(1-Q$8)</f>
        <v>49000</v>
      </c>
      <c r="R10" s="11">
        <f>'Input &amp; Output (Basic)'!$B$6*R$4*(1-R$8)</f>
        <v>49000</v>
      </c>
      <c r="S10" s="11">
        <f>'Input &amp; Output (Basic)'!$B$6*S$4*(1-S$8)</f>
        <v>49000</v>
      </c>
      <c r="T10" s="11">
        <f>'Input &amp; Output (Basic)'!$B$6*T$4*(1-T$8)</f>
        <v>49000</v>
      </c>
      <c r="U10" s="11">
        <f>'Input &amp; Output (Basic)'!$B$6*U$4*(1-U$8)</f>
        <v>49000</v>
      </c>
      <c r="V10" s="11">
        <f>'Input &amp; Output (Basic)'!$B$6*V$4*(1-V$8)</f>
        <v>49000</v>
      </c>
      <c r="W10" s="11">
        <f>'Input &amp; Output (Basic)'!$B$6*W$4*(1-W$8)</f>
        <v>49000</v>
      </c>
      <c r="X10" s="11">
        <f>'Input &amp; Output (Basic)'!$B$6*X$4*(1-X$8)</f>
        <v>49000</v>
      </c>
      <c r="Y10" s="11">
        <f>'Input &amp; Output (Basic)'!$B$6*Y$4*(1-Y$8)</f>
        <v>49000</v>
      </c>
      <c r="Z10" s="11">
        <f>'Input &amp; Output (Basic)'!$B$6*Z$4*(1-Z$8)</f>
        <v>49000</v>
      </c>
      <c r="AA10" s="11">
        <f>'Input &amp; Output (Basic)'!$B$6*AA$4*(1-AA$8)</f>
        <v>49000</v>
      </c>
      <c r="AB10" s="11">
        <f>'Input &amp; Output (Basic)'!$B$6*AB$4*(1-AB$8)</f>
        <v>0</v>
      </c>
      <c r="AC10" s="11">
        <f>'Input &amp; Output (Basic)'!$B$6*AC$4*(1-AC$8)</f>
        <v>0</v>
      </c>
      <c r="AD10" s="11">
        <f>'Input &amp; Output (Basic)'!$B$6*AD$4*(1-AD$8)</f>
        <v>0</v>
      </c>
      <c r="AE10" s="11">
        <f>'Input &amp; Output (Basic)'!$B$6*AE$4*(1-AE$8)</f>
        <v>0</v>
      </c>
      <c r="AF10" s="11">
        <f>'Input &amp; Output (Basic)'!$B$6*AF$4*(1-AF$8)</f>
        <v>0</v>
      </c>
      <c r="AG10" s="11">
        <f>'Input &amp; Output (Basic)'!$B$6*AG$4*(1-AG$8)</f>
        <v>0</v>
      </c>
    </row>
    <row r="11" spans="1:33" s="21" customFormat="1" x14ac:dyDescent="0.2">
      <c r="A11" s="20" t="s">
        <v>20</v>
      </c>
      <c r="B11" s="21">
        <f>'Input &amp; Output (Basic)'!$B$9*B$4</f>
        <v>0</v>
      </c>
      <c r="C11" s="21">
        <f>'Input &amp; Output (Basic)'!$B$9*C$4</f>
        <v>10000</v>
      </c>
      <c r="D11" s="21">
        <f>'Input &amp; Output (Basic)'!$B$9*D$4</f>
        <v>10000</v>
      </c>
      <c r="E11" s="21">
        <f>'Input &amp; Output (Basic)'!$B$9*E$4</f>
        <v>10000</v>
      </c>
      <c r="F11" s="21">
        <f>'Input &amp; Output (Basic)'!$B$9*F$4</f>
        <v>10000</v>
      </c>
      <c r="G11" s="21">
        <f>'Input &amp; Output (Basic)'!$B$9*G$4</f>
        <v>10000</v>
      </c>
      <c r="H11" s="21">
        <f>'Input &amp; Output (Basic)'!$B$9*H$4</f>
        <v>10000</v>
      </c>
      <c r="I11" s="21">
        <f>'Input &amp; Output (Basic)'!$B$9*I$4</f>
        <v>10000</v>
      </c>
      <c r="J11" s="21">
        <f>'Input &amp; Output (Basic)'!$B$9*J$4</f>
        <v>10000</v>
      </c>
      <c r="K11" s="21">
        <f>'Input &amp; Output (Basic)'!$B$9*K$4</f>
        <v>10000</v>
      </c>
      <c r="L11" s="21">
        <f>'Input &amp; Output (Basic)'!$B$9*L$4</f>
        <v>10000</v>
      </c>
      <c r="M11" s="21">
        <f>'Input &amp; Output (Basic)'!$B$9*M$4</f>
        <v>10000</v>
      </c>
      <c r="N11" s="21">
        <f>'Input &amp; Output (Basic)'!$B$9*N$4</f>
        <v>10000</v>
      </c>
      <c r="O11" s="21">
        <f>'Input &amp; Output (Basic)'!$B$9*O$4</f>
        <v>10000</v>
      </c>
      <c r="P11" s="21">
        <f>'Input &amp; Output (Basic)'!$B$9*P$4</f>
        <v>10000</v>
      </c>
      <c r="Q11" s="21">
        <f>'Input &amp; Output (Basic)'!$B$9*Q$4</f>
        <v>10000</v>
      </c>
      <c r="R11" s="21">
        <f>'Input &amp; Output (Basic)'!$B$9*R$4</f>
        <v>10000</v>
      </c>
      <c r="S11" s="21">
        <f>'Input &amp; Output (Basic)'!$B$9*S$4</f>
        <v>10000</v>
      </c>
      <c r="T11" s="21">
        <f>'Input &amp; Output (Basic)'!$B$9*T$4</f>
        <v>10000</v>
      </c>
      <c r="U11" s="21">
        <f>'Input &amp; Output (Basic)'!$B$9*U$4</f>
        <v>10000</v>
      </c>
      <c r="V11" s="21">
        <f>'Input &amp; Output (Basic)'!$B$9*V$4</f>
        <v>10000</v>
      </c>
      <c r="W11" s="21">
        <f>'Input &amp; Output (Basic)'!$B$9*W$4</f>
        <v>10000</v>
      </c>
      <c r="X11" s="21">
        <f>'Input &amp; Output (Basic)'!$B$9*X$4</f>
        <v>10000</v>
      </c>
      <c r="Y11" s="21">
        <f>'Input &amp; Output (Basic)'!$B$9*Y$4</f>
        <v>10000</v>
      </c>
      <c r="Z11" s="21">
        <f>'Input &amp; Output (Basic)'!$B$9*Z$4</f>
        <v>10000</v>
      </c>
      <c r="AA11" s="21">
        <f>'Input &amp; Output (Basic)'!$B$9*AA$4</f>
        <v>10000</v>
      </c>
      <c r="AB11" s="21">
        <f>'Input &amp; Output (Basic)'!$B$9*AB$4</f>
        <v>0</v>
      </c>
      <c r="AC11" s="21">
        <f>'Input &amp; Output (Basic)'!$B$9*AC$4</f>
        <v>0</v>
      </c>
      <c r="AD11" s="21">
        <f>'Input &amp; Output (Basic)'!$B$9*AD$4</f>
        <v>0</v>
      </c>
      <c r="AE11" s="21">
        <f>'Input &amp; Output (Basic)'!$B$9*AE$4</f>
        <v>0</v>
      </c>
      <c r="AF11" s="21">
        <f>'Input &amp; Output (Basic)'!$B$9*AF$4</f>
        <v>0</v>
      </c>
      <c r="AG11" s="21">
        <f>'Input &amp; Output (Basic)'!$B$9*AG$4</f>
        <v>0</v>
      </c>
    </row>
    <row r="12" spans="1:33" s="11" customFormat="1" x14ac:dyDescent="0.2">
      <c r="A12" s="11" t="s">
        <v>38</v>
      </c>
      <c r="B12" s="11">
        <f>B$11*B$6</f>
        <v>0</v>
      </c>
      <c r="C12" s="11">
        <f>C$11*C$6</f>
        <v>10300</v>
      </c>
      <c r="D12" s="11">
        <f t="shared" ref="D12:AG12" si="1">D$11*D$6</f>
        <v>10609</v>
      </c>
      <c r="E12" s="11">
        <f t="shared" si="1"/>
        <v>10927.27</v>
      </c>
      <c r="F12" s="11">
        <f t="shared" si="1"/>
        <v>11255.088099999999</v>
      </c>
      <c r="G12" s="11">
        <f t="shared" si="1"/>
        <v>11592.740742999998</v>
      </c>
      <c r="H12" s="11">
        <f t="shared" si="1"/>
        <v>11940.52296529</v>
      </c>
      <c r="I12" s="11">
        <f t="shared" si="1"/>
        <v>12298.7386542487</v>
      </c>
      <c r="J12" s="11">
        <f t="shared" si="1"/>
        <v>12667.700813876159</v>
      </c>
      <c r="K12" s="11">
        <f t="shared" si="1"/>
        <v>13047.731838292444</v>
      </c>
      <c r="L12" s="11">
        <f t="shared" si="1"/>
        <v>13439.163793441217</v>
      </c>
      <c r="M12" s="11">
        <f t="shared" si="1"/>
        <v>13842.338707244455</v>
      </c>
      <c r="N12" s="11">
        <f t="shared" si="1"/>
        <v>14257.608868461786</v>
      </c>
      <c r="O12" s="11">
        <f t="shared" si="1"/>
        <v>14685.337134515639</v>
      </c>
      <c r="P12" s="11">
        <f t="shared" si="1"/>
        <v>15125.897248551109</v>
      </c>
      <c r="Q12" s="11">
        <f t="shared" si="1"/>
        <v>15579.674166007644</v>
      </c>
      <c r="R12" s="11">
        <f t="shared" si="1"/>
        <v>16047.064390987871</v>
      </c>
      <c r="S12" s="11">
        <f t="shared" si="1"/>
        <v>16528.476322717506</v>
      </c>
      <c r="T12" s="11">
        <f t="shared" si="1"/>
        <v>17024.330612399033</v>
      </c>
      <c r="U12" s="11">
        <f t="shared" si="1"/>
        <v>17535.060530771003</v>
      </c>
      <c r="V12" s="11">
        <f t="shared" si="1"/>
        <v>18061.112346694132</v>
      </c>
      <c r="W12" s="11">
        <f t="shared" si="1"/>
        <v>18602.945717094954</v>
      </c>
      <c r="X12" s="11">
        <f t="shared" si="1"/>
        <v>19161.034088607805</v>
      </c>
      <c r="Y12" s="11">
        <f t="shared" si="1"/>
        <v>19735.865111266041</v>
      </c>
      <c r="Z12" s="11">
        <f t="shared" si="1"/>
        <v>20327.94106460402</v>
      </c>
      <c r="AA12" s="11">
        <f t="shared" si="1"/>
        <v>20937.779296542139</v>
      </c>
      <c r="AB12" s="11">
        <f t="shared" si="1"/>
        <v>0</v>
      </c>
      <c r="AC12" s="11">
        <f t="shared" si="1"/>
        <v>0</v>
      </c>
      <c r="AD12" s="11">
        <f t="shared" si="1"/>
        <v>0</v>
      </c>
      <c r="AE12" s="11">
        <f t="shared" si="1"/>
        <v>0</v>
      </c>
      <c r="AF12" s="11">
        <f t="shared" si="1"/>
        <v>0</v>
      </c>
      <c r="AG12" s="11">
        <f t="shared" si="1"/>
        <v>0</v>
      </c>
    </row>
    <row r="13" spans="1:33" s="21" customFormat="1" x14ac:dyDescent="0.2">
      <c r="A13" s="20" t="s">
        <v>21</v>
      </c>
      <c r="B13" s="21">
        <f>'Input &amp; Output (Basic)'!$B$10*B5</f>
        <v>0</v>
      </c>
      <c r="C13" s="21">
        <f>'Input &amp; Output (Basic)'!$B$10*C5</f>
        <v>0</v>
      </c>
      <c r="D13" s="21">
        <f>'Input &amp; Output (Basic)'!$B$10*D5</f>
        <v>0</v>
      </c>
      <c r="E13" s="21">
        <f>'Input &amp; Output (Basic)'!$B$10*E5</f>
        <v>0</v>
      </c>
      <c r="F13" s="21">
        <f>'Input &amp; Output (Basic)'!$B$10*F5</f>
        <v>0</v>
      </c>
      <c r="G13" s="21">
        <f>'Input &amp; Output (Basic)'!$B$10*G5</f>
        <v>5000000</v>
      </c>
      <c r="H13" s="21">
        <f>'Input &amp; Output (Basic)'!$B$10*H5</f>
        <v>0</v>
      </c>
      <c r="I13" s="21">
        <f>'Input &amp; Output (Basic)'!$B$10*I5</f>
        <v>0</v>
      </c>
      <c r="J13" s="21">
        <f>'Input &amp; Output (Basic)'!$B$10*J5</f>
        <v>0</v>
      </c>
      <c r="K13" s="21">
        <f>'Input &amp; Output (Basic)'!$B$10*K5</f>
        <v>0</v>
      </c>
      <c r="L13" s="21">
        <f>'Input &amp; Output (Basic)'!$B$10*L5</f>
        <v>5000000</v>
      </c>
      <c r="M13" s="21">
        <f>'Input &amp; Output (Basic)'!$B$10*M5</f>
        <v>0</v>
      </c>
      <c r="N13" s="21">
        <f>'Input &amp; Output (Basic)'!$B$10*N5</f>
        <v>0</v>
      </c>
      <c r="O13" s="21">
        <f>'Input &amp; Output (Basic)'!$B$10*O5</f>
        <v>0</v>
      </c>
      <c r="P13" s="21">
        <f>'Input &amp; Output (Basic)'!$B$10*P5</f>
        <v>0</v>
      </c>
      <c r="Q13" s="21">
        <f>'Input &amp; Output (Basic)'!$B$10*Q5</f>
        <v>5000000</v>
      </c>
      <c r="R13" s="21">
        <f>'Input &amp; Output (Basic)'!$B$10*R5</f>
        <v>0</v>
      </c>
      <c r="S13" s="21">
        <f>'Input &amp; Output (Basic)'!$B$10*S5</f>
        <v>0</v>
      </c>
      <c r="T13" s="21">
        <f>'Input &amp; Output (Basic)'!$B$10*T5</f>
        <v>0</v>
      </c>
      <c r="U13" s="21">
        <f>'Input &amp; Output (Basic)'!$B$10*U5</f>
        <v>0</v>
      </c>
      <c r="V13" s="21">
        <f>'Input &amp; Output (Basic)'!$B$10*V5</f>
        <v>5000000</v>
      </c>
      <c r="W13" s="21">
        <f>'Input &amp; Output (Basic)'!$B$10*W5</f>
        <v>0</v>
      </c>
      <c r="X13" s="21">
        <f>'Input &amp; Output (Basic)'!$B$10*X5</f>
        <v>0</v>
      </c>
      <c r="Y13" s="21">
        <f>'Input &amp; Output (Basic)'!$B$10*Y5</f>
        <v>0</v>
      </c>
      <c r="Z13" s="21">
        <f>'Input &amp; Output (Basic)'!$B$10*Z5</f>
        <v>0</v>
      </c>
      <c r="AA13" s="21">
        <f>'Input &amp; Output (Basic)'!$B$10*AA5</f>
        <v>0</v>
      </c>
      <c r="AB13" s="21">
        <f>'Input &amp; Output (Basic)'!$B$10*AB5</f>
        <v>0</v>
      </c>
      <c r="AC13" s="21">
        <f>'Input &amp; Output (Basic)'!$B$10*AC5</f>
        <v>0</v>
      </c>
      <c r="AD13" s="21">
        <f>'Input &amp; Output (Basic)'!$B$10*AD5</f>
        <v>0</v>
      </c>
      <c r="AE13" s="21">
        <f>'Input &amp; Output (Basic)'!$B$10*AE5</f>
        <v>0</v>
      </c>
      <c r="AF13" s="21">
        <f>'Input &amp; Output (Basic)'!$B$10*AF5</f>
        <v>0</v>
      </c>
      <c r="AG13" s="21">
        <f>'Input &amp; Output (Basic)'!$B$10*AG5</f>
        <v>0</v>
      </c>
    </row>
    <row r="14" spans="1:33" s="11" customFormat="1" x14ac:dyDescent="0.2">
      <c r="A14" s="11" t="s">
        <v>23</v>
      </c>
      <c r="B14" s="11">
        <f>B13*B$6</f>
        <v>0</v>
      </c>
      <c r="C14" s="11">
        <f>C13*C$6</f>
        <v>0</v>
      </c>
      <c r="D14" s="11">
        <f t="shared" ref="D14:AG14" si="2">D13*D$6</f>
        <v>0</v>
      </c>
      <c r="E14" s="11">
        <f t="shared" si="2"/>
        <v>0</v>
      </c>
      <c r="F14" s="11">
        <f t="shared" si="2"/>
        <v>0</v>
      </c>
      <c r="G14" s="11">
        <f t="shared" si="2"/>
        <v>5796370.3714999994</v>
      </c>
      <c r="H14" s="11">
        <f t="shared" si="2"/>
        <v>0</v>
      </c>
      <c r="I14" s="11">
        <f t="shared" si="2"/>
        <v>0</v>
      </c>
      <c r="J14" s="11">
        <f t="shared" si="2"/>
        <v>0</v>
      </c>
      <c r="K14" s="11">
        <f t="shared" si="2"/>
        <v>0</v>
      </c>
      <c r="L14" s="11">
        <f t="shared" si="2"/>
        <v>6719581.8967206087</v>
      </c>
      <c r="M14" s="11">
        <f t="shared" si="2"/>
        <v>0</v>
      </c>
      <c r="N14" s="11">
        <f t="shared" si="2"/>
        <v>0</v>
      </c>
      <c r="O14" s="11">
        <f t="shared" si="2"/>
        <v>0</v>
      </c>
      <c r="P14" s="11">
        <f t="shared" si="2"/>
        <v>0</v>
      </c>
      <c r="Q14" s="11">
        <f t="shared" si="2"/>
        <v>7789837.0830038218</v>
      </c>
      <c r="R14" s="11">
        <f t="shared" si="2"/>
        <v>0</v>
      </c>
      <c r="S14" s="11">
        <f t="shared" si="2"/>
        <v>0</v>
      </c>
      <c r="T14" s="11">
        <f t="shared" si="2"/>
        <v>0</v>
      </c>
      <c r="U14" s="11">
        <f t="shared" si="2"/>
        <v>0</v>
      </c>
      <c r="V14" s="11">
        <f t="shared" si="2"/>
        <v>9030556.1733470671</v>
      </c>
      <c r="W14" s="11">
        <f t="shared" si="2"/>
        <v>0</v>
      </c>
      <c r="X14" s="11">
        <f t="shared" si="2"/>
        <v>0</v>
      </c>
      <c r="Y14" s="11">
        <f t="shared" si="2"/>
        <v>0</v>
      </c>
      <c r="Z14" s="11">
        <f t="shared" si="2"/>
        <v>0</v>
      </c>
      <c r="AA14" s="11">
        <f t="shared" si="2"/>
        <v>0</v>
      </c>
      <c r="AB14" s="11">
        <f t="shared" si="2"/>
        <v>0</v>
      </c>
      <c r="AC14" s="11">
        <f t="shared" si="2"/>
        <v>0</v>
      </c>
      <c r="AD14" s="11">
        <f t="shared" si="2"/>
        <v>0</v>
      </c>
      <c r="AE14" s="11">
        <f t="shared" si="2"/>
        <v>0</v>
      </c>
      <c r="AF14" s="11">
        <f t="shared" si="2"/>
        <v>0</v>
      </c>
      <c r="AG14" s="11">
        <f t="shared" si="2"/>
        <v>0</v>
      </c>
    </row>
    <row r="15" spans="1:33" s="21" customFormat="1" x14ac:dyDescent="0.2">
      <c r="A15" s="20" t="s">
        <v>22</v>
      </c>
      <c r="B15" s="21">
        <f>'Input &amp; Output (Basic)'!$B$12*B4</f>
        <v>0</v>
      </c>
      <c r="C15" s="21">
        <f>'Input &amp; Output (Basic)'!$B$12*C4</f>
        <v>500000</v>
      </c>
      <c r="D15" s="21">
        <f>'Input &amp; Output (Basic)'!$B$12*D4</f>
        <v>500000</v>
      </c>
      <c r="E15" s="21">
        <f>'Input &amp; Output (Basic)'!$B$12*E4</f>
        <v>500000</v>
      </c>
      <c r="F15" s="21">
        <f>'Input &amp; Output (Basic)'!$B$12*F4</f>
        <v>500000</v>
      </c>
      <c r="G15" s="21">
        <f>'Input &amp; Output (Basic)'!$B$12*G4</f>
        <v>500000</v>
      </c>
      <c r="H15" s="21">
        <f>'Input &amp; Output (Basic)'!$B$12*H4</f>
        <v>500000</v>
      </c>
      <c r="I15" s="21">
        <f>'Input &amp; Output (Basic)'!$B$12*I4</f>
        <v>500000</v>
      </c>
      <c r="J15" s="21">
        <f>'Input &amp; Output (Basic)'!$B$12*J4</f>
        <v>500000</v>
      </c>
      <c r="K15" s="21">
        <f>'Input &amp; Output (Basic)'!$B$12*K4</f>
        <v>500000</v>
      </c>
      <c r="L15" s="21">
        <f>'Input &amp; Output (Basic)'!$B$12*L4</f>
        <v>500000</v>
      </c>
      <c r="M15" s="21">
        <f>'Input &amp; Output (Basic)'!$B$12*M4</f>
        <v>500000</v>
      </c>
      <c r="N15" s="21">
        <f>'Input &amp; Output (Basic)'!$B$12*N4</f>
        <v>500000</v>
      </c>
      <c r="O15" s="21">
        <f>'Input &amp; Output (Basic)'!$B$12*O4</f>
        <v>500000</v>
      </c>
      <c r="P15" s="21">
        <f>'Input &amp; Output (Basic)'!$B$12*P4</f>
        <v>500000</v>
      </c>
      <c r="Q15" s="21">
        <f>'Input &amp; Output (Basic)'!$B$12*Q4</f>
        <v>500000</v>
      </c>
      <c r="R15" s="21">
        <f>'Input &amp; Output (Basic)'!$B$12*R4</f>
        <v>500000</v>
      </c>
      <c r="S15" s="21">
        <f>'Input &amp; Output (Basic)'!$B$12*S4</f>
        <v>500000</v>
      </c>
      <c r="T15" s="21">
        <f>'Input &amp; Output (Basic)'!$B$12*T4</f>
        <v>500000</v>
      </c>
      <c r="U15" s="21">
        <f>'Input &amp; Output (Basic)'!$B$12*U4</f>
        <v>500000</v>
      </c>
      <c r="V15" s="21">
        <f>'Input &amp; Output (Basic)'!$B$12*V4</f>
        <v>500000</v>
      </c>
      <c r="W15" s="21">
        <f>'Input &amp; Output (Basic)'!$B$12*W4</f>
        <v>500000</v>
      </c>
      <c r="X15" s="21">
        <f>'Input &amp; Output (Basic)'!$B$12*X4</f>
        <v>500000</v>
      </c>
      <c r="Y15" s="21">
        <f>'Input &amp; Output (Basic)'!$B$12*Y4</f>
        <v>500000</v>
      </c>
      <c r="Z15" s="21">
        <f>'Input &amp; Output (Basic)'!$B$12*Z4</f>
        <v>500000</v>
      </c>
      <c r="AA15" s="21">
        <f>'Input &amp; Output (Basic)'!$B$12*AA4</f>
        <v>500000</v>
      </c>
      <c r="AB15" s="21">
        <f>'Input &amp; Output (Basic)'!$B$12*AB4</f>
        <v>0</v>
      </c>
      <c r="AC15" s="21">
        <f>'Input &amp; Output (Basic)'!$B$12*AC4</f>
        <v>0</v>
      </c>
      <c r="AD15" s="21">
        <f>'Input &amp; Output (Basic)'!$B$12*AD4</f>
        <v>0</v>
      </c>
      <c r="AE15" s="21">
        <f>'Input &amp; Output (Basic)'!$B$12*AE4</f>
        <v>0</v>
      </c>
      <c r="AF15" s="21">
        <f>'Input &amp; Output (Basic)'!$B$12*AF4</f>
        <v>0</v>
      </c>
      <c r="AG15" s="21">
        <f>'Input &amp; Output (Basic)'!$B$12*AG4</f>
        <v>0</v>
      </c>
    </row>
    <row r="16" spans="1:33" s="11" customFormat="1" x14ac:dyDescent="0.2">
      <c r="A16" s="11" t="s">
        <v>24</v>
      </c>
      <c r="B16" s="11">
        <f>B15*B$6</f>
        <v>0</v>
      </c>
      <c r="C16" s="11">
        <f>C15*C$6</f>
        <v>515000</v>
      </c>
      <c r="D16" s="11">
        <f t="shared" ref="D16:AG16" si="3">D15*D$6</f>
        <v>530450</v>
      </c>
      <c r="E16" s="11">
        <f t="shared" si="3"/>
        <v>546363.5</v>
      </c>
      <c r="F16" s="11">
        <f t="shared" si="3"/>
        <v>562754.40499999991</v>
      </c>
      <c r="G16" s="11">
        <f t="shared" si="3"/>
        <v>579637.03714999987</v>
      </c>
      <c r="H16" s="11">
        <f t="shared" si="3"/>
        <v>597026.14826449996</v>
      </c>
      <c r="I16" s="11">
        <f t="shared" si="3"/>
        <v>614936.93271243502</v>
      </c>
      <c r="J16" s="11">
        <f t="shared" si="3"/>
        <v>633385.040693808</v>
      </c>
      <c r="K16" s="11">
        <f t="shared" si="3"/>
        <v>652386.59191462223</v>
      </c>
      <c r="L16" s="11">
        <f t="shared" si="3"/>
        <v>671958.18967206089</v>
      </c>
      <c r="M16" s="11">
        <f t="shared" si="3"/>
        <v>692116.93536222272</v>
      </c>
      <c r="N16" s="11">
        <f t="shared" si="3"/>
        <v>712880.44342308934</v>
      </c>
      <c r="O16" s="11">
        <f t="shared" si="3"/>
        <v>734266.85672578192</v>
      </c>
      <c r="P16" s="11">
        <f t="shared" si="3"/>
        <v>756294.86242755549</v>
      </c>
      <c r="Q16" s="11">
        <f t="shared" si="3"/>
        <v>778983.70830038225</v>
      </c>
      <c r="R16" s="11">
        <f t="shared" si="3"/>
        <v>802353.21954939351</v>
      </c>
      <c r="S16" s="11">
        <f t="shared" si="3"/>
        <v>826423.8161358753</v>
      </c>
      <c r="T16" s="11">
        <f t="shared" si="3"/>
        <v>851216.53061995166</v>
      </c>
      <c r="U16" s="11">
        <f t="shared" si="3"/>
        <v>876753.02653855016</v>
      </c>
      <c r="V16" s="11">
        <f t="shared" si="3"/>
        <v>903055.61733470659</v>
      </c>
      <c r="W16" s="11">
        <f t="shared" si="3"/>
        <v>930147.28585474775</v>
      </c>
      <c r="X16" s="11">
        <f t="shared" si="3"/>
        <v>958051.70443039027</v>
      </c>
      <c r="Y16" s="11">
        <f t="shared" si="3"/>
        <v>986793.25556330197</v>
      </c>
      <c r="Z16" s="11">
        <f t="shared" si="3"/>
        <v>1016397.0532302009</v>
      </c>
      <c r="AA16" s="11">
        <f t="shared" si="3"/>
        <v>1046888.9648271069</v>
      </c>
      <c r="AB16" s="11">
        <f t="shared" si="3"/>
        <v>0</v>
      </c>
      <c r="AC16" s="11">
        <f t="shared" si="3"/>
        <v>0</v>
      </c>
      <c r="AD16" s="11">
        <f t="shared" si="3"/>
        <v>0</v>
      </c>
      <c r="AE16" s="11">
        <f t="shared" si="3"/>
        <v>0</v>
      </c>
      <c r="AF16" s="11">
        <f t="shared" si="3"/>
        <v>0</v>
      </c>
      <c r="AG16" s="11">
        <f t="shared" si="3"/>
        <v>0</v>
      </c>
    </row>
    <row r="17" spans="1:33" s="11" customFormat="1" x14ac:dyDescent="0.2"/>
    <row r="18" spans="1:33" ht="15" x14ac:dyDescent="0.25">
      <c r="A18" s="26" t="s">
        <v>28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</row>
    <row r="19" spans="1:33" s="15" customFormat="1" ht="15" x14ac:dyDescent="0.25">
      <c r="A19" s="15" t="s">
        <v>26</v>
      </c>
      <c r="B19" s="16">
        <f>B10*B9*B4</f>
        <v>0</v>
      </c>
      <c r="C19" s="16">
        <f>C10*C9*C4</f>
        <v>17885000</v>
      </c>
      <c r="D19" s="16">
        <f t="shared" ref="D19:AF19" si="4">D10*D9*D4</f>
        <v>17885000</v>
      </c>
      <c r="E19" s="16">
        <f t="shared" si="4"/>
        <v>17885000</v>
      </c>
      <c r="F19" s="16">
        <f t="shared" si="4"/>
        <v>17885000</v>
      </c>
      <c r="G19" s="16">
        <f t="shared" si="4"/>
        <v>17885000</v>
      </c>
      <c r="H19" s="16">
        <f t="shared" si="4"/>
        <v>17885000</v>
      </c>
      <c r="I19" s="16">
        <f t="shared" si="4"/>
        <v>17885000</v>
      </c>
      <c r="J19" s="16">
        <f t="shared" si="4"/>
        <v>17885000</v>
      </c>
      <c r="K19" s="16">
        <f t="shared" si="4"/>
        <v>17885000</v>
      </c>
      <c r="L19" s="16">
        <f t="shared" si="4"/>
        <v>17885000</v>
      </c>
      <c r="M19" s="16">
        <f t="shared" si="4"/>
        <v>17885000</v>
      </c>
      <c r="N19" s="16">
        <f t="shared" si="4"/>
        <v>17885000</v>
      </c>
      <c r="O19" s="16">
        <f t="shared" si="4"/>
        <v>17885000</v>
      </c>
      <c r="P19" s="16">
        <f t="shared" si="4"/>
        <v>17885000</v>
      </c>
      <c r="Q19" s="16">
        <f t="shared" si="4"/>
        <v>17885000</v>
      </c>
      <c r="R19" s="16">
        <f t="shared" si="4"/>
        <v>17885000</v>
      </c>
      <c r="S19" s="16">
        <f t="shared" si="4"/>
        <v>17885000</v>
      </c>
      <c r="T19" s="16">
        <f t="shared" si="4"/>
        <v>17885000</v>
      </c>
      <c r="U19" s="16">
        <f t="shared" si="4"/>
        <v>17885000</v>
      </c>
      <c r="V19" s="16">
        <f t="shared" si="4"/>
        <v>17885000</v>
      </c>
      <c r="W19" s="16">
        <f t="shared" si="4"/>
        <v>17885000</v>
      </c>
      <c r="X19" s="16">
        <f t="shared" si="4"/>
        <v>17885000</v>
      </c>
      <c r="Y19" s="16">
        <f t="shared" si="4"/>
        <v>17885000</v>
      </c>
      <c r="Z19" s="16">
        <f t="shared" si="4"/>
        <v>17885000</v>
      </c>
      <c r="AA19" s="16">
        <f t="shared" si="4"/>
        <v>17885000</v>
      </c>
      <c r="AB19" s="16">
        <f t="shared" si="4"/>
        <v>0</v>
      </c>
      <c r="AC19" s="16">
        <f t="shared" si="4"/>
        <v>0</v>
      </c>
      <c r="AD19" s="16">
        <f t="shared" si="4"/>
        <v>0</v>
      </c>
      <c r="AE19" s="16">
        <f t="shared" si="4"/>
        <v>0</v>
      </c>
      <c r="AF19" s="16">
        <f t="shared" si="4"/>
        <v>0</v>
      </c>
      <c r="AG19" s="16">
        <f t="shared" ref="AG19" si="5">AG10*AG9*AG4</f>
        <v>0</v>
      </c>
    </row>
    <row r="20" spans="1:33" s="15" customFormat="1" ht="15" x14ac:dyDescent="0.25">
      <c r="A20" s="15" t="s">
        <v>27</v>
      </c>
      <c r="B20" s="16">
        <f>B12*B9*B4</f>
        <v>0</v>
      </c>
      <c r="C20" s="16">
        <f>C12*C9*C4</f>
        <v>3759500</v>
      </c>
      <c r="D20" s="16">
        <f t="shared" ref="D20:AG20" si="6">D12*D9*D4</f>
        <v>3872285</v>
      </c>
      <c r="E20" s="16">
        <f t="shared" si="6"/>
        <v>3988453.5500000003</v>
      </c>
      <c r="F20" s="16">
        <f t="shared" si="6"/>
        <v>4108107.1564999996</v>
      </c>
      <c r="G20" s="16">
        <f t="shared" si="6"/>
        <v>4231350.3711949997</v>
      </c>
      <c r="H20" s="16">
        <f t="shared" si="6"/>
        <v>4358290.8823308498</v>
      </c>
      <c r="I20" s="16">
        <f t="shared" si="6"/>
        <v>4489039.6088007754</v>
      </c>
      <c r="J20" s="16">
        <f t="shared" si="6"/>
        <v>4623710.797064798</v>
      </c>
      <c r="K20" s="16">
        <f t="shared" si="6"/>
        <v>4762422.1209767424</v>
      </c>
      <c r="L20" s="16">
        <f t="shared" si="6"/>
        <v>4905294.7846060442</v>
      </c>
      <c r="M20" s="16">
        <f t="shared" si="6"/>
        <v>5052453.628144226</v>
      </c>
      <c r="N20" s="16">
        <f t="shared" si="6"/>
        <v>5204027.2369885519</v>
      </c>
      <c r="O20" s="16">
        <f t="shared" si="6"/>
        <v>5360148.0540982084</v>
      </c>
      <c r="P20" s="16">
        <f t="shared" si="6"/>
        <v>5520952.4957211548</v>
      </c>
      <c r="Q20" s="16">
        <f t="shared" si="6"/>
        <v>5686581.0705927899</v>
      </c>
      <c r="R20" s="16">
        <f t="shared" si="6"/>
        <v>5857178.5027105724</v>
      </c>
      <c r="S20" s="16">
        <f t="shared" si="6"/>
        <v>6032893.8577918895</v>
      </c>
      <c r="T20" s="16">
        <f t="shared" si="6"/>
        <v>6213880.6735256473</v>
      </c>
      <c r="U20" s="16">
        <f t="shared" si="6"/>
        <v>6400297.0937314164</v>
      </c>
      <c r="V20" s="16">
        <f t="shared" si="6"/>
        <v>6592306.0065433579</v>
      </c>
      <c r="W20" s="16">
        <f t="shared" si="6"/>
        <v>6790075.186739658</v>
      </c>
      <c r="X20" s="16">
        <f t="shared" si="6"/>
        <v>6993777.4423418483</v>
      </c>
      <c r="Y20" s="16">
        <f t="shared" si="6"/>
        <v>7203590.7656121049</v>
      </c>
      <c r="Z20" s="16">
        <f t="shared" si="6"/>
        <v>7419698.4885804672</v>
      </c>
      <c r="AA20" s="16">
        <f t="shared" si="6"/>
        <v>7642289.4432378812</v>
      </c>
      <c r="AB20" s="16">
        <f t="shared" si="6"/>
        <v>0</v>
      </c>
      <c r="AC20" s="16">
        <f t="shared" si="6"/>
        <v>0</v>
      </c>
      <c r="AD20" s="16">
        <f t="shared" si="6"/>
        <v>0</v>
      </c>
      <c r="AE20" s="16">
        <f t="shared" si="6"/>
        <v>0</v>
      </c>
      <c r="AF20" s="16">
        <f t="shared" si="6"/>
        <v>0</v>
      </c>
      <c r="AG20" s="16">
        <f t="shared" si="6"/>
        <v>0</v>
      </c>
    </row>
    <row r="21" spans="1:33" s="14" customFormat="1" x14ac:dyDescent="0.2">
      <c r="A21" s="12" t="s">
        <v>11</v>
      </c>
      <c r="B21" s="13">
        <f>B14</f>
        <v>0</v>
      </c>
      <c r="C21" s="13">
        <f>C14</f>
        <v>0</v>
      </c>
      <c r="D21" s="13">
        <f t="shared" ref="D21:AF21" si="7">D14</f>
        <v>0</v>
      </c>
      <c r="E21" s="13">
        <f t="shared" si="7"/>
        <v>0</v>
      </c>
      <c r="F21" s="13">
        <f t="shared" si="7"/>
        <v>0</v>
      </c>
      <c r="G21" s="13">
        <f t="shared" si="7"/>
        <v>5796370.3714999994</v>
      </c>
      <c r="H21" s="13">
        <f t="shared" si="7"/>
        <v>0</v>
      </c>
      <c r="I21" s="13">
        <f t="shared" si="7"/>
        <v>0</v>
      </c>
      <c r="J21" s="13">
        <f t="shared" si="7"/>
        <v>0</v>
      </c>
      <c r="K21" s="13">
        <f t="shared" si="7"/>
        <v>0</v>
      </c>
      <c r="L21" s="13">
        <f t="shared" si="7"/>
        <v>6719581.8967206087</v>
      </c>
      <c r="M21" s="13">
        <f t="shared" si="7"/>
        <v>0</v>
      </c>
      <c r="N21" s="13">
        <f t="shared" si="7"/>
        <v>0</v>
      </c>
      <c r="O21" s="13">
        <f t="shared" si="7"/>
        <v>0</v>
      </c>
      <c r="P21" s="13">
        <f t="shared" si="7"/>
        <v>0</v>
      </c>
      <c r="Q21" s="13">
        <f t="shared" si="7"/>
        <v>7789837.0830038218</v>
      </c>
      <c r="R21" s="13">
        <f t="shared" si="7"/>
        <v>0</v>
      </c>
      <c r="S21" s="13">
        <f t="shared" si="7"/>
        <v>0</v>
      </c>
      <c r="T21" s="13">
        <f t="shared" si="7"/>
        <v>0</v>
      </c>
      <c r="U21" s="13">
        <f t="shared" si="7"/>
        <v>0</v>
      </c>
      <c r="V21" s="13">
        <f t="shared" si="7"/>
        <v>9030556.1733470671</v>
      </c>
      <c r="W21" s="13">
        <f t="shared" si="7"/>
        <v>0</v>
      </c>
      <c r="X21" s="13">
        <f t="shared" si="7"/>
        <v>0</v>
      </c>
      <c r="Y21" s="13">
        <f t="shared" si="7"/>
        <v>0</v>
      </c>
      <c r="Z21" s="13">
        <f t="shared" si="7"/>
        <v>0</v>
      </c>
      <c r="AA21" s="13">
        <f t="shared" si="7"/>
        <v>0</v>
      </c>
      <c r="AB21" s="13">
        <f t="shared" si="7"/>
        <v>0</v>
      </c>
      <c r="AC21" s="13">
        <f t="shared" si="7"/>
        <v>0</v>
      </c>
      <c r="AD21" s="13">
        <f t="shared" si="7"/>
        <v>0</v>
      </c>
      <c r="AE21" s="13">
        <f t="shared" si="7"/>
        <v>0</v>
      </c>
      <c r="AF21" s="13">
        <f t="shared" si="7"/>
        <v>0</v>
      </c>
      <c r="AG21" s="13">
        <f t="shared" ref="AG21" si="8">AG14</f>
        <v>0</v>
      </c>
    </row>
    <row r="22" spans="1:33" s="14" customFormat="1" x14ac:dyDescent="0.2">
      <c r="A22" s="12" t="s">
        <v>10</v>
      </c>
      <c r="B22" s="13">
        <f>B16</f>
        <v>0</v>
      </c>
      <c r="C22" s="13">
        <f>C16</f>
        <v>515000</v>
      </c>
      <c r="D22" s="13">
        <f t="shared" ref="D22:AF22" si="9">D16</f>
        <v>530450</v>
      </c>
      <c r="E22" s="13">
        <f t="shared" si="9"/>
        <v>546363.5</v>
      </c>
      <c r="F22" s="13">
        <f t="shared" si="9"/>
        <v>562754.40499999991</v>
      </c>
      <c r="G22" s="13">
        <f t="shared" si="9"/>
        <v>579637.03714999987</v>
      </c>
      <c r="H22" s="13">
        <f t="shared" si="9"/>
        <v>597026.14826449996</v>
      </c>
      <c r="I22" s="13">
        <f t="shared" si="9"/>
        <v>614936.93271243502</v>
      </c>
      <c r="J22" s="13">
        <f t="shared" si="9"/>
        <v>633385.040693808</v>
      </c>
      <c r="K22" s="13">
        <f t="shared" si="9"/>
        <v>652386.59191462223</v>
      </c>
      <c r="L22" s="13">
        <f t="shared" si="9"/>
        <v>671958.18967206089</v>
      </c>
      <c r="M22" s="13">
        <f t="shared" si="9"/>
        <v>692116.93536222272</v>
      </c>
      <c r="N22" s="13">
        <f t="shared" si="9"/>
        <v>712880.44342308934</v>
      </c>
      <c r="O22" s="13">
        <f t="shared" si="9"/>
        <v>734266.85672578192</v>
      </c>
      <c r="P22" s="13">
        <f t="shared" si="9"/>
        <v>756294.86242755549</v>
      </c>
      <c r="Q22" s="13">
        <f t="shared" si="9"/>
        <v>778983.70830038225</v>
      </c>
      <c r="R22" s="13">
        <f t="shared" si="9"/>
        <v>802353.21954939351</v>
      </c>
      <c r="S22" s="13">
        <f t="shared" si="9"/>
        <v>826423.8161358753</v>
      </c>
      <c r="T22" s="13">
        <f t="shared" si="9"/>
        <v>851216.53061995166</v>
      </c>
      <c r="U22" s="13">
        <f t="shared" si="9"/>
        <v>876753.02653855016</v>
      </c>
      <c r="V22" s="13">
        <f t="shared" si="9"/>
        <v>903055.61733470659</v>
      </c>
      <c r="W22" s="13">
        <f t="shared" si="9"/>
        <v>930147.28585474775</v>
      </c>
      <c r="X22" s="13">
        <f t="shared" si="9"/>
        <v>958051.70443039027</v>
      </c>
      <c r="Y22" s="13">
        <f t="shared" si="9"/>
        <v>986793.25556330197</v>
      </c>
      <c r="Z22" s="13">
        <f t="shared" si="9"/>
        <v>1016397.0532302009</v>
      </c>
      <c r="AA22" s="13">
        <f t="shared" si="9"/>
        <v>1046888.9648271069</v>
      </c>
      <c r="AB22" s="13">
        <f t="shared" si="9"/>
        <v>0</v>
      </c>
      <c r="AC22" s="13">
        <f t="shared" si="9"/>
        <v>0</v>
      </c>
      <c r="AD22" s="13">
        <f t="shared" si="9"/>
        <v>0</v>
      </c>
      <c r="AE22" s="13">
        <f t="shared" si="9"/>
        <v>0</v>
      </c>
      <c r="AF22" s="13">
        <f t="shared" si="9"/>
        <v>0</v>
      </c>
      <c r="AG22" s="13">
        <f t="shared" ref="AG22" si="10">AG16</f>
        <v>0</v>
      </c>
    </row>
    <row r="23" spans="1:33" s="15" customFormat="1" ht="15" x14ac:dyDescent="0.25">
      <c r="A23" s="15" t="s">
        <v>25</v>
      </c>
      <c r="B23" s="17">
        <f>SUBTOTAL(9,B21:B22)</f>
        <v>0</v>
      </c>
      <c r="C23" s="17">
        <f>SUBTOTAL(9,C21:C22)</f>
        <v>515000</v>
      </c>
      <c r="D23" s="17">
        <f t="shared" ref="D23:AG23" si="11">SUBTOTAL(9,D21:D22)</f>
        <v>530450</v>
      </c>
      <c r="E23" s="17">
        <f t="shared" si="11"/>
        <v>546363.5</v>
      </c>
      <c r="F23" s="17">
        <f t="shared" si="11"/>
        <v>562754.40499999991</v>
      </c>
      <c r="G23" s="17">
        <f t="shared" si="11"/>
        <v>6376007.4086499996</v>
      </c>
      <c r="H23" s="17">
        <f t="shared" si="11"/>
        <v>597026.14826449996</v>
      </c>
      <c r="I23" s="17">
        <f t="shared" si="11"/>
        <v>614936.93271243502</v>
      </c>
      <c r="J23" s="17">
        <f t="shared" si="11"/>
        <v>633385.040693808</v>
      </c>
      <c r="K23" s="17">
        <f t="shared" si="11"/>
        <v>652386.59191462223</v>
      </c>
      <c r="L23" s="17">
        <f t="shared" si="11"/>
        <v>7391540.0863926699</v>
      </c>
      <c r="M23" s="17">
        <f t="shared" si="11"/>
        <v>692116.93536222272</v>
      </c>
      <c r="N23" s="17">
        <f t="shared" si="11"/>
        <v>712880.44342308934</v>
      </c>
      <c r="O23" s="17">
        <f t="shared" si="11"/>
        <v>734266.85672578192</v>
      </c>
      <c r="P23" s="17">
        <f t="shared" si="11"/>
        <v>756294.86242755549</v>
      </c>
      <c r="Q23" s="17">
        <f t="shared" si="11"/>
        <v>8568820.7913042046</v>
      </c>
      <c r="R23" s="17">
        <f t="shared" si="11"/>
        <v>802353.21954939351</v>
      </c>
      <c r="S23" s="17">
        <f t="shared" si="11"/>
        <v>826423.8161358753</v>
      </c>
      <c r="T23" s="17">
        <f t="shared" si="11"/>
        <v>851216.53061995166</v>
      </c>
      <c r="U23" s="17">
        <f t="shared" si="11"/>
        <v>876753.02653855016</v>
      </c>
      <c r="V23" s="17">
        <f t="shared" si="11"/>
        <v>9933611.7906817738</v>
      </c>
      <c r="W23" s="17">
        <f t="shared" si="11"/>
        <v>930147.28585474775</v>
      </c>
      <c r="X23" s="17">
        <f t="shared" si="11"/>
        <v>958051.70443039027</v>
      </c>
      <c r="Y23" s="17">
        <f t="shared" si="11"/>
        <v>986793.25556330197</v>
      </c>
      <c r="Z23" s="17">
        <f t="shared" si="11"/>
        <v>1016397.0532302009</v>
      </c>
      <c r="AA23" s="17">
        <f t="shared" si="11"/>
        <v>1046888.9648271069</v>
      </c>
      <c r="AB23" s="17">
        <f t="shared" si="11"/>
        <v>0</v>
      </c>
      <c r="AC23" s="17">
        <f t="shared" si="11"/>
        <v>0</v>
      </c>
      <c r="AD23" s="17">
        <f t="shared" si="11"/>
        <v>0</v>
      </c>
      <c r="AE23" s="17">
        <f t="shared" si="11"/>
        <v>0</v>
      </c>
      <c r="AF23" s="17">
        <f t="shared" si="11"/>
        <v>0</v>
      </c>
      <c r="AG23" s="17">
        <f t="shared" si="11"/>
        <v>0</v>
      </c>
    </row>
    <row r="24" spans="1:33" s="15" customFormat="1" ht="15" x14ac:dyDescent="0.25">
      <c r="A24" s="15" t="s">
        <v>37</v>
      </c>
      <c r="B24" s="17">
        <f>B19-B20-B23</f>
        <v>0</v>
      </c>
      <c r="C24" s="17">
        <f>C19-C20-C23</f>
        <v>13610500</v>
      </c>
      <c r="D24" s="17">
        <f t="shared" ref="D24:AG24" si="12">D19-D20-D23</f>
        <v>13482265</v>
      </c>
      <c r="E24" s="17">
        <f t="shared" si="12"/>
        <v>13350182.949999999</v>
      </c>
      <c r="F24" s="17">
        <f t="shared" si="12"/>
        <v>13214138.4385</v>
      </c>
      <c r="G24" s="17">
        <f t="shared" si="12"/>
        <v>7277642.2201550007</v>
      </c>
      <c r="H24" s="17">
        <f t="shared" si="12"/>
        <v>12929682.969404651</v>
      </c>
      <c r="I24" s="17">
        <f t="shared" si="12"/>
        <v>12781023.458486788</v>
      </c>
      <c r="J24" s="17">
        <f t="shared" si="12"/>
        <v>12627904.162241394</v>
      </c>
      <c r="K24" s="17">
        <f t="shared" si="12"/>
        <v>12470191.287108636</v>
      </c>
      <c r="L24" s="17">
        <f t="shared" si="12"/>
        <v>5588165.1290012868</v>
      </c>
      <c r="M24" s="17">
        <f t="shared" si="12"/>
        <v>12140429.436493549</v>
      </c>
      <c r="N24" s="17">
        <f t="shared" si="12"/>
        <v>11968092.319588359</v>
      </c>
      <c r="O24" s="17">
        <f t="shared" si="12"/>
        <v>11790585.08917601</v>
      </c>
      <c r="P24" s="17">
        <f t="shared" si="12"/>
        <v>11607752.641851291</v>
      </c>
      <c r="Q24" s="17">
        <f t="shared" si="12"/>
        <v>3629598.1381030045</v>
      </c>
      <c r="R24" s="17">
        <f t="shared" si="12"/>
        <v>11225468.277740033</v>
      </c>
      <c r="S24" s="17">
        <f t="shared" si="12"/>
        <v>11025682.326072235</v>
      </c>
      <c r="T24" s="17">
        <f t="shared" si="12"/>
        <v>10819902.795854403</v>
      </c>
      <c r="U24" s="17">
        <f t="shared" si="12"/>
        <v>10607949.879730033</v>
      </c>
      <c r="V24" s="17">
        <f t="shared" si="12"/>
        <v>1359082.2027748693</v>
      </c>
      <c r="W24" s="17">
        <f t="shared" si="12"/>
        <v>10164777.527405595</v>
      </c>
      <c r="X24" s="17">
        <f t="shared" si="12"/>
        <v>9933170.8532277606</v>
      </c>
      <c r="Y24" s="17">
        <f t="shared" si="12"/>
        <v>9694615.9788245931</v>
      </c>
      <c r="Z24" s="17">
        <f t="shared" si="12"/>
        <v>9448904.458189331</v>
      </c>
      <c r="AA24" s="17">
        <f t="shared" si="12"/>
        <v>9195821.5919350106</v>
      </c>
      <c r="AB24" s="17">
        <f t="shared" si="12"/>
        <v>0</v>
      </c>
      <c r="AC24" s="17">
        <f t="shared" si="12"/>
        <v>0</v>
      </c>
      <c r="AD24" s="17">
        <f t="shared" si="12"/>
        <v>0</v>
      </c>
      <c r="AE24" s="17">
        <f t="shared" si="12"/>
        <v>0</v>
      </c>
      <c r="AF24" s="17">
        <f t="shared" si="12"/>
        <v>0</v>
      </c>
      <c r="AG24" s="17">
        <f t="shared" si="12"/>
        <v>0</v>
      </c>
    </row>
    <row r="26" spans="1:33" ht="15" x14ac:dyDescent="0.25">
      <c r="A26" s="26" t="s">
        <v>30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</row>
    <row r="27" spans="1:33" s="14" customFormat="1" ht="15" x14ac:dyDescent="0.25">
      <c r="A27" s="12" t="s">
        <v>31</v>
      </c>
      <c r="B27" s="19">
        <f>IF(B$3=0,-'Input &amp; Output (Basic)'!$B$3,0)</f>
        <v>-100000000</v>
      </c>
      <c r="C27" s="19">
        <f>IF(C$3=0,-'Input &amp; Output (Basic)'!$B$3,0)</f>
        <v>0</v>
      </c>
      <c r="D27" s="19">
        <f>IF(D$3=0,-'Input &amp; Output (Basic)'!$B$3,0)</f>
        <v>0</v>
      </c>
      <c r="E27" s="19">
        <f>IF(E$3=0,-'Input &amp; Output (Basic)'!$B$3,0)</f>
        <v>0</v>
      </c>
      <c r="F27" s="19">
        <f>IF(F$3=0,-'Input &amp; Output (Basic)'!$B$3,0)</f>
        <v>0</v>
      </c>
      <c r="G27" s="19">
        <f>IF(G$3=0,-'Input &amp; Output (Basic)'!$B$3,0)</f>
        <v>0</v>
      </c>
      <c r="H27" s="19">
        <f>IF(H$3=0,-'Input &amp; Output (Basic)'!$B$3,0)</f>
        <v>0</v>
      </c>
      <c r="I27" s="19">
        <f>IF(I$3=0,-'Input &amp; Output (Basic)'!$B$3,0)</f>
        <v>0</v>
      </c>
      <c r="J27" s="19">
        <f>IF(J$3=0,-'Input &amp; Output (Basic)'!$B$3,0)</f>
        <v>0</v>
      </c>
      <c r="K27" s="19">
        <f>IF(K$3=0,-'Input &amp; Output (Basic)'!$B$3,0)</f>
        <v>0</v>
      </c>
      <c r="L27" s="19">
        <f>IF(L$3=0,-'Input &amp; Output (Basic)'!$B$3,0)</f>
        <v>0</v>
      </c>
      <c r="M27" s="19">
        <f>IF(M$3=0,-'Input &amp; Output (Basic)'!$B$3,0)</f>
        <v>0</v>
      </c>
      <c r="N27" s="19">
        <f>IF(N$3=0,-'Input &amp; Output (Basic)'!$B$3,0)</f>
        <v>0</v>
      </c>
      <c r="O27" s="19">
        <f>IF(O$3=0,-'Input &amp; Output (Basic)'!$B$3,0)</f>
        <v>0</v>
      </c>
      <c r="P27" s="19">
        <f>IF(P$3=0,-'Input &amp; Output (Basic)'!$B$3,0)</f>
        <v>0</v>
      </c>
      <c r="Q27" s="19">
        <f>IF(Q$3=0,-'Input &amp; Output (Basic)'!$B$3,0)</f>
        <v>0</v>
      </c>
      <c r="R27" s="19">
        <f>IF(R$3=0,-'Input &amp; Output (Basic)'!$B$3,0)</f>
        <v>0</v>
      </c>
      <c r="S27" s="19">
        <f>IF(S$3=0,-'Input &amp; Output (Basic)'!$B$3,0)</f>
        <v>0</v>
      </c>
      <c r="T27" s="19">
        <f>IF(T$3=0,-'Input &amp; Output (Basic)'!$B$3,0)</f>
        <v>0</v>
      </c>
      <c r="U27" s="19">
        <f>IF(U$3=0,-'Input &amp; Output (Basic)'!$B$3,0)</f>
        <v>0</v>
      </c>
      <c r="V27" s="19">
        <f>IF(V$3=0,-'Input &amp; Output (Basic)'!$B$3,0)</f>
        <v>0</v>
      </c>
      <c r="W27" s="19">
        <f>IF(W$3=0,-'Input &amp; Output (Basic)'!$B$3,0)</f>
        <v>0</v>
      </c>
      <c r="X27" s="19">
        <f>IF(X$3=0,-'Input &amp; Output (Basic)'!$B$3,0)</f>
        <v>0</v>
      </c>
      <c r="Y27" s="19">
        <f>IF(Y$3=0,-'Input &amp; Output (Basic)'!$B$3,0)</f>
        <v>0</v>
      </c>
      <c r="Z27" s="19">
        <f>IF(Z$3=0,-'Input &amp; Output (Basic)'!$B$3,0)</f>
        <v>0</v>
      </c>
      <c r="AA27" s="19">
        <f>IF(AA$3=0,-'Input &amp; Output (Basic)'!$B$3,0)</f>
        <v>0</v>
      </c>
      <c r="AB27" s="19">
        <f>IF(AB$3=0,-'Input &amp; Output (Basic)'!$B$3,0)</f>
        <v>0</v>
      </c>
      <c r="AC27" s="19">
        <f>IF(AC$3=0,-'Input &amp; Output (Basic)'!$B$3,0)</f>
        <v>0</v>
      </c>
      <c r="AD27" s="19">
        <f>IF(AD$3=0,-'Input &amp; Output (Basic)'!$B$3,0)</f>
        <v>0</v>
      </c>
      <c r="AE27" s="19">
        <f>IF(AE$3=0,-'Input &amp; Output (Basic)'!$B$3,0)</f>
        <v>0</v>
      </c>
      <c r="AF27" s="19">
        <f>IF(AF$3=0,-'Input &amp; Output (Basic)'!$B$3,0)</f>
        <v>0</v>
      </c>
      <c r="AG27" s="19">
        <f>IF(AG$3=0,-'Input &amp; Output (Basic)'!$B$3,0)</f>
        <v>0</v>
      </c>
    </row>
    <row r="28" spans="1:33" s="14" customFormat="1" ht="15" x14ac:dyDescent="0.25">
      <c r="A28" s="12" t="s">
        <v>32</v>
      </c>
      <c r="B28" s="19">
        <f>IF(B$3='Input &amp; Output (Basic)'!$B$4,'Input &amp; Output (Basic)'!$B$5,0)</f>
        <v>0</v>
      </c>
      <c r="C28" s="19">
        <f>IF(C$3='Input &amp; Output (Basic)'!$B$4,'Input &amp; Output (Basic)'!$B$5,0)</f>
        <v>0</v>
      </c>
      <c r="D28" s="19">
        <f>IF(D$3='Input &amp; Output (Basic)'!$B$4,'Input &amp; Output (Basic)'!$B$5,0)</f>
        <v>0</v>
      </c>
      <c r="E28" s="19">
        <f>IF(E$3='Input &amp; Output (Basic)'!$B$4,'Input &amp; Output (Basic)'!$B$5,0)</f>
        <v>0</v>
      </c>
      <c r="F28" s="19">
        <f>IF(F$3='Input &amp; Output (Basic)'!$B$4,'Input &amp; Output (Basic)'!$B$5,0)</f>
        <v>0</v>
      </c>
      <c r="G28" s="19">
        <f>IF(G$3='Input &amp; Output (Basic)'!$B$4,'Input &amp; Output (Basic)'!$B$5,0)</f>
        <v>0</v>
      </c>
      <c r="H28" s="19">
        <f>IF(H$3='Input &amp; Output (Basic)'!$B$4,'Input &amp; Output (Basic)'!$B$5,0)</f>
        <v>0</v>
      </c>
      <c r="I28" s="19">
        <f>IF(I$3='Input &amp; Output (Basic)'!$B$4,'Input &amp; Output (Basic)'!$B$5,0)</f>
        <v>0</v>
      </c>
      <c r="J28" s="19">
        <f>IF(J$3='Input &amp; Output (Basic)'!$B$4,'Input &amp; Output (Basic)'!$B$5,0)</f>
        <v>0</v>
      </c>
      <c r="K28" s="19">
        <f>IF(K$3='Input &amp; Output (Basic)'!$B$4,'Input &amp; Output (Basic)'!$B$5,0)</f>
        <v>0</v>
      </c>
      <c r="L28" s="19">
        <f>IF(L$3='Input &amp; Output (Basic)'!$B$4,'Input &amp; Output (Basic)'!$B$5,0)</f>
        <v>0</v>
      </c>
      <c r="M28" s="19">
        <f>IF(M$3='Input &amp; Output (Basic)'!$B$4,'Input &amp; Output (Basic)'!$B$5,0)</f>
        <v>0</v>
      </c>
      <c r="N28" s="19">
        <f>IF(N$3='Input &amp; Output (Basic)'!$B$4,'Input &amp; Output (Basic)'!$B$5,0)</f>
        <v>0</v>
      </c>
      <c r="O28" s="19">
        <f>IF(O$3='Input &amp; Output (Basic)'!$B$4,'Input &amp; Output (Basic)'!$B$5,0)</f>
        <v>0</v>
      </c>
      <c r="P28" s="19">
        <f>IF(P$3='Input &amp; Output (Basic)'!$B$4,'Input &amp; Output (Basic)'!$B$5,0)</f>
        <v>0</v>
      </c>
      <c r="Q28" s="19">
        <f>IF(Q$3='Input &amp; Output (Basic)'!$B$4,'Input &amp; Output (Basic)'!$B$5,0)</f>
        <v>0</v>
      </c>
      <c r="R28" s="19">
        <f>IF(R$3='Input &amp; Output (Basic)'!$B$4,'Input &amp; Output (Basic)'!$B$5,0)</f>
        <v>0</v>
      </c>
      <c r="S28" s="19">
        <f>IF(S$3='Input &amp; Output (Basic)'!$B$4,'Input &amp; Output (Basic)'!$B$5,0)</f>
        <v>0</v>
      </c>
      <c r="T28" s="19">
        <f>IF(T$3='Input &amp; Output (Basic)'!$B$4,'Input &amp; Output (Basic)'!$B$5,0)</f>
        <v>0</v>
      </c>
      <c r="U28" s="19">
        <f>IF(U$3='Input &amp; Output (Basic)'!$B$4,'Input &amp; Output (Basic)'!$B$5,0)</f>
        <v>0</v>
      </c>
      <c r="V28" s="19">
        <f>IF(V$3='Input &amp; Output (Basic)'!$B$4,'Input &amp; Output (Basic)'!$B$5,0)</f>
        <v>0</v>
      </c>
      <c r="W28" s="19">
        <f>IF(W$3='Input &amp; Output (Basic)'!$B$4,'Input &amp; Output (Basic)'!$B$5,0)</f>
        <v>0</v>
      </c>
      <c r="X28" s="19">
        <f>IF(X$3='Input &amp; Output (Basic)'!$B$4,'Input &amp; Output (Basic)'!$B$5,0)</f>
        <v>0</v>
      </c>
      <c r="Y28" s="19">
        <f>IF(Y$3='Input &amp; Output (Basic)'!$B$4,'Input &amp; Output (Basic)'!$B$5,0)</f>
        <v>0</v>
      </c>
      <c r="Z28" s="19">
        <f>IF(Z$3='Input &amp; Output (Basic)'!$B$4,'Input &amp; Output (Basic)'!$B$5,0)</f>
        <v>0</v>
      </c>
      <c r="AA28" s="19">
        <f>IF(AA$3='Input &amp; Output (Basic)'!$B$4,'Input &amp; Output (Basic)'!$B$5,0)</f>
        <v>5000000</v>
      </c>
      <c r="AB28" s="19">
        <f>IF(AB$3='Input &amp; Output (Basic)'!$B$4,'Input &amp; Output (Basic)'!$B$5,0)</f>
        <v>0</v>
      </c>
      <c r="AC28" s="19">
        <f>IF(AC$3='Input &amp; Output (Basic)'!$B$4,'Input &amp; Output (Basic)'!$B$5,0)</f>
        <v>0</v>
      </c>
      <c r="AD28" s="19">
        <f>IF(AD$3='Input &amp; Output (Basic)'!$B$4,'Input &amp; Output (Basic)'!$B$5,0)</f>
        <v>0</v>
      </c>
      <c r="AE28" s="19">
        <f>IF(AE$3='Input &amp; Output (Basic)'!$B$4,'Input &amp; Output (Basic)'!$B$5,0)</f>
        <v>0</v>
      </c>
      <c r="AF28" s="19">
        <f>IF(AF$3='Input &amp; Output (Basic)'!$B$4,'Input &amp; Output (Basic)'!$B$5,0)</f>
        <v>0</v>
      </c>
      <c r="AG28" s="19">
        <f>IF(AG$3='Input &amp; Output (Basic)'!$B$4,'Input &amp; Output (Basic)'!$B$5,0)</f>
        <v>0</v>
      </c>
    </row>
    <row r="29" spans="1:33" s="15" customFormat="1" ht="15" x14ac:dyDescent="0.25">
      <c r="A29" s="15" t="s">
        <v>36</v>
      </c>
      <c r="B29" s="18">
        <f t="shared" ref="B29:AG29" si="13">B24+B27+B28</f>
        <v>-100000000</v>
      </c>
      <c r="C29" s="18">
        <f t="shared" si="13"/>
        <v>13610500</v>
      </c>
      <c r="D29" s="18">
        <f t="shared" si="13"/>
        <v>13482265</v>
      </c>
      <c r="E29" s="18">
        <f t="shared" si="13"/>
        <v>13350182.949999999</v>
      </c>
      <c r="F29" s="18">
        <f t="shared" si="13"/>
        <v>13214138.4385</v>
      </c>
      <c r="G29" s="18">
        <f t="shared" si="13"/>
        <v>7277642.2201550007</v>
      </c>
      <c r="H29" s="18">
        <f t="shared" si="13"/>
        <v>12929682.969404651</v>
      </c>
      <c r="I29" s="18">
        <f t="shared" si="13"/>
        <v>12781023.458486788</v>
      </c>
      <c r="J29" s="18">
        <f t="shared" si="13"/>
        <v>12627904.162241394</v>
      </c>
      <c r="K29" s="18">
        <f t="shared" si="13"/>
        <v>12470191.287108636</v>
      </c>
      <c r="L29" s="18">
        <f t="shared" si="13"/>
        <v>5588165.1290012868</v>
      </c>
      <c r="M29" s="18">
        <f t="shared" si="13"/>
        <v>12140429.436493549</v>
      </c>
      <c r="N29" s="18">
        <f t="shared" si="13"/>
        <v>11968092.319588359</v>
      </c>
      <c r="O29" s="18">
        <f t="shared" si="13"/>
        <v>11790585.08917601</v>
      </c>
      <c r="P29" s="18">
        <f t="shared" si="13"/>
        <v>11607752.641851291</v>
      </c>
      <c r="Q29" s="18">
        <f t="shared" si="13"/>
        <v>3629598.1381030045</v>
      </c>
      <c r="R29" s="18">
        <f t="shared" si="13"/>
        <v>11225468.277740033</v>
      </c>
      <c r="S29" s="18">
        <f t="shared" si="13"/>
        <v>11025682.326072235</v>
      </c>
      <c r="T29" s="18">
        <f t="shared" si="13"/>
        <v>10819902.795854403</v>
      </c>
      <c r="U29" s="18">
        <f t="shared" si="13"/>
        <v>10607949.879730033</v>
      </c>
      <c r="V29" s="18">
        <f t="shared" si="13"/>
        <v>1359082.2027748693</v>
      </c>
      <c r="W29" s="18">
        <f t="shared" si="13"/>
        <v>10164777.527405595</v>
      </c>
      <c r="X29" s="18">
        <f t="shared" si="13"/>
        <v>9933170.8532277606</v>
      </c>
      <c r="Y29" s="18">
        <f t="shared" si="13"/>
        <v>9694615.9788245931</v>
      </c>
      <c r="Z29" s="18">
        <f t="shared" si="13"/>
        <v>9448904.458189331</v>
      </c>
      <c r="AA29" s="18">
        <f t="shared" si="13"/>
        <v>14195821.591935011</v>
      </c>
      <c r="AB29" s="18">
        <f t="shared" si="13"/>
        <v>0</v>
      </c>
      <c r="AC29" s="18">
        <f t="shared" si="13"/>
        <v>0</v>
      </c>
      <c r="AD29" s="18">
        <f t="shared" si="13"/>
        <v>0</v>
      </c>
      <c r="AE29" s="18">
        <f t="shared" si="13"/>
        <v>0</v>
      </c>
      <c r="AF29" s="18">
        <f t="shared" si="13"/>
        <v>0</v>
      </c>
      <c r="AG29" s="18">
        <f t="shared" si="13"/>
        <v>0</v>
      </c>
    </row>
    <row r="31" spans="1:33" s="15" customFormat="1" ht="15" x14ac:dyDescent="0.25">
      <c r="A31" s="15" t="s">
        <v>39</v>
      </c>
      <c r="B31" s="18">
        <f>B29/B7</f>
        <v>-100000000</v>
      </c>
      <c r="C31" s="18">
        <f>C29/C7</f>
        <v>12373181.818181816</v>
      </c>
      <c r="D31" s="18">
        <f t="shared" ref="D31:AG31" si="14">D29/D7</f>
        <v>11142367.76859504</v>
      </c>
      <c r="E31" s="18">
        <f t="shared" si="14"/>
        <v>10030190.045078885</v>
      </c>
      <c r="F31" s="18">
        <f t="shared" si="14"/>
        <v>9025434.354552282</v>
      </c>
      <c r="G31" s="18">
        <f t="shared" si="14"/>
        <v>4518843.2360898089</v>
      </c>
      <c r="H31" s="18">
        <f t="shared" si="14"/>
        <v>7298468.9600892346</v>
      </c>
      <c r="I31" s="18">
        <f t="shared" si="14"/>
        <v>6558685.9470195957</v>
      </c>
      <c r="J31" s="18">
        <f t="shared" si="14"/>
        <v>5891010.4882668182</v>
      </c>
      <c r="K31" s="18">
        <f t="shared" si="14"/>
        <v>5288578.425512081</v>
      </c>
      <c r="L31" s="18">
        <f t="shared" si="14"/>
        <v>2154479.5657105581</v>
      </c>
      <c r="M31" s="18">
        <f t="shared" si="14"/>
        <v>4255146.4545753049</v>
      </c>
      <c r="N31" s="18">
        <f t="shared" si="14"/>
        <v>3813403.0422234768</v>
      </c>
      <c r="O31" s="18">
        <f t="shared" si="14"/>
        <v>3415312.5165888085</v>
      </c>
      <c r="P31" s="18">
        <f t="shared" si="14"/>
        <v>3056684.0628534113</v>
      </c>
      <c r="Q31" s="18">
        <f t="shared" si="14"/>
        <v>868896.93666697806</v>
      </c>
      <c r="R31" s="18">
        <f t="shared" si="14"/>
        <v>2442988.9601242905</v>
      </c>
      <c r="S31" s="18">
        <f t="shared" si="14"/>
        <v>2181372.4691998321</v>
      </c>
      <c r="T31" s="18">
        <f t="shared" si="14"/>
        <v>1946054.6237976905</v>
      </c>
      <c r="U31" s="18">
        <f t="shared" si="14"/>
        <v>1734484.5716234834</v>
      </c>
      <c r="V31" s="18">
        <f t="shared" si="14"/>
        <v>202018.90940350122</v>
      </c>
      <c r="W31" s="18">
        <f t="shared" si="14"/>
        <v>1373572.1906653184</v>
      </c>
      <c r="X31" s="18">
        <f t="shared" si="14"/>
        <v>1220250.0441383892</v>
      </c>
      <c r="Y31" s="18">
        <f t="shared" si="14"/>
        <v>1082676.8530378062</v>
      </c>
      <c r="Z31" s="18">
        <f t="shared" si="14"/>
        <v>959305.67551312456</v>
      </c>
      <c r="AA31" s="18">
        <f t="shared" si="14"/>
        <v>1310217.5237711603</v>
      </c>
      <c r="AB31" s="18">
        <f t="shared" si="14"/>
        <v>0</v>
      </c>
      <c r="AC31" s="18">
        <f t="shared" si="14"/>
        <v>0</v>
      </c>
      <c r="AD31" s="18">
        <f t="shared" si="14"/>
        <v>0</v>
      </c>
      <c r="AE31" s="18">
        <f t="shared" si="14"/>
        <v>0</v>
      </c>
      <c r="AF31" s="18">
        <f t="shared" si="14"/>
        <v>0</v>
      </c>
      <c r="AG31" s="18">
        <f t="shared" si="14"/>
        <v>0</v>
      </c>
    </row>
  </sheetData>
  <conditionalFormatting sqref="B4:XFD5 A4:A6">
    <cfRule type="containsText" dxfId="0" priority="1" operator="containsText" text="True">
      <formula>NOT(ISERROR(SEARCH("True",A4)))</formula>
    </cfRule>
  </conditionalFormatting>
  <pageMargins left="0.7" right="0.7" top="0.75" bottom="0.75" header="0.3" footer="0.3"/>
  <pageSetup orientation="portrait" r:id="rId1"/>
  <ignoredErrors>
    <ignoredError sqref="B15:AG15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2ACA-81BF-4CC8-9D8F-0AB13D47078D}">
  <dimension ref="A1:R11"/>
  <sheetViews>
    <sheetView workbookViewId="0">
      <selection activeCell="D2" sqref="D2"/>
    </sheetView>
  </sheetViews>
  <sheetFormatPr defaultRowHeight="15" x14ac:dyDescent="0.25"/>
  <cols>
    <col min="1" max="1" width="22.5703125" bestFit="1" customWidth="1"/>
    <col min="2" max="2" width="12" bestFit="1" customWidth="1"/>
    <col min="3" max="3" width="7.7109375" bestFit="1" customWidth="1"/>
    <col min="4" max="4" width="25.28515625" bestFit="1" customWidth="1"/>
    <col min="5" max="5" width="25.85546875" bestFit="1" customWidth="1"/>
    <col min="6" max="6" width="21.42578125" bestFit="1" customWidth="1"/>
    <col min="7" max="7" width="25.42578125" bestFit="1" customWidth="1"/>
    <col min="8" max="8" width="20" bestFit="1" customWidth="1"/>
    <col min="9" max="9" width="17.28515625" bestFit="1" customWidth="1"/>
    <col min="10" max="10" width="17.140625" bestFit="1" customWidth="1"/>
    <col min="11" max="11" width="38.7109375" bestFit="1" customWidth="1"/>
    <col min="12" max="12" width="24" bestFit="1" customWidth="1"/>
    <col min="13" max="13" width="22.28515625" bestFit="1" customWidth="1"/>
    <col min="14" max="14" width="25.5703125" bestFit="1" customWidth="1"/>
    <col min="15" max="15" width="28.140625" bestFit="1" customWidth="1"/>
    <col min="16" max="16" width="29.42578125" bestFit="1" customWidth="1"/>
    <col min="17" max="17" width="15.7109375" bestFit="1" customWidth="1"/>
    <col min="18" max="18" width="22.7109375" bestFit="1" customWidth="1"/>
  </cols>
  <sheetData>
    <row r="1" spans="1:18" x14ac:dyDescent="0.25">
      <c r="A1" s="2" t="s">
        <v>0</v>
      </c>
      <c r="B1" s="2" t="s">
        <v>56</v>
      </c>
      <c r="C1" s="2" t="s">
        <v>57</v>
      </c>
      <c r="D1" s="2" t="s">
        <v>12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44</v>
      </c>
      <c r="K1" s="2" t="s">
        <v>7</v>
      </c>
      <c r="L1" s="2" t="s">
        <v>8</v>
      </c>
      <c r="M1" s="2" t="s">
        <v>17</v>
      </c>
      <c r="N1" s="2" t="s">
        <v>9</v>
      </c>
      <c r="O1" s="2" t="s">
        <v>14</v>
      </c>
      <c r="P1" s="2" t="s">
        <v>45</v>
      </c>
      <c r="Q1" s="2" t="s">
        <v>60</v>
      </c>
      <c r="R1" s="2" t="s">
        <v>59</v>
      </c>
    </row>
    <row r="2" spans="1:18" ht="15.75" x14ac:dyDescent="0.25">
      <c r="A2" s="2" t="s">
        <v>46</v>
      </c>
      <c r="B2" s="30">
        <v>7000</v>
      </c>
      <c r="C2" s="30">
        <v>12345</v>
      </c>
      <c r="D2" s="6">
        <v>44651</v>
      </c>
      <c r="E2" s="25">
        <v>80000000</v>
      </c>
      <c r="F2" s="4">
        <v>25</v>
      </c>
      <c r="G2" s="31">
        <f>C2*400</f>
        <v>4938000</v>
      </c>
      <c r="H2" s="25">
        <v>40000</v>
      </c>
      <c r="I2" s="3">
        <v>365</v>
      </c>
      <c r="J2" s="5">
        <v>0.02</v>
      </c>
      <c r="K2" s="25">
        <v>11000</v>
      </c>
      <c r="L2" s="25">
        <v>3950000</v>
      </c>
      <c r="M2" s="4">
        <v>5</v>
      </c>
      <c r="N2" s="25">
        <v>500000</v>
      </c>
      <c r="O2" s="5">
        <v>0.03</v>
      </c>
      <c r="P2" s="5">
        <v>0.1</v>
      </c>
      <c r="Q2" s="31" t="s">
        <v>61</v>
      </c>
      <c r="R2" s="32">
        <v>0.8</v>
      </c>
    </row>
    <row r="3" spans="1:18" ht="15.75" x14ac:dyDescent="0.25">
      <c r="A3" s="2" t="s">
        <v>47</v>
      </c>
      <c r="B3" s="30">
        <v>7000</v>
      </c>
      <c r="C3" s="30">
        <v>12345</v>
      </c>
      <c r="D3" s="6">
        <f>EOMONTH(D2,3)</f>
        <v>44742</v>
      </c>
      <c r="E3" s="25">
        <v>80000000</v>
      </c>
      <c r="F3" s="4">
        <v>25</v>
      </c>
      <c r="G3" s="31">
        <f t="shared" ref="G3:G11" si="0">C3*400</f>
        <v>4938000</v>
      </c>
      <c r="H3" s="25">
        <v>40000</v>
      </c>
      <c r="I3" s="3">
        <v>365</v>
      </c>
      <c r="J3" s="5">
        <v>0.02</v>
      </c>
      <c r="K3" s="25">
        <v>11000</v>
      </c>
      <c r="L3" s="25">
        <v>4000000</v>
      </c>
      <c r="M3" s="4">
        <v>5</v>
      </c>
      <c r="N3" s="25">
        <v>500000</v>
      </c>
      <c r="O3" s="5">
        <v>0.03</v>
      </c>
      <c r="P3" s="5">
        <v>0.1</v>
      </c>
      <c r="Q3" s="31" t="s">
        <v>61</v>
      </c>
      <c r="R3" s="32">
        <v>0.8</v>
      </c>
    </row>
    <row r="4" spans="1:18" ht="15.75" x14ac:dyDescent="0.25">
      <c r="A4" s="2" t="s">
        <v>48</v>
      </c>
      <c r="B4" s="30">
        <v>7000</v>
      </c>
      <c r="C4" s="30">
        <v>12500</v>
      </c>
      <c r="D4" s="6">
        <f t="shared" ref="D4:D11" si="1">EOMONTH(D3,3)</f>
        <v>44834</v>
      </c>
      <c r="E4" s="25">
        <v>80000000</v>
      </c>
      <c r="F4" s="4">
        <v>25</v>
      </c>
      <c r="G4" s="31">
        <f t="shared" si="0"/>
        <v>5000000</v>
      </c>
      <c r="H4" s="25">
        <v>40000</v>
      </c>
      <c r="I4" s="3">
        <v>365</v>
      </c>
      <c r="J4" s="5">
        <v>0.02</v>
      </c>
      <c r="K4" s="25">
        <v>11000</v>
      </c>
      <c r="L4" s="25">
        <v>4500000</v>
      </c>
      <c r="M4" s="4">
        <v>5</v>
      </c>
      <c r="N4" s="25">
        <v>500000</v>
      </c>
      <c r="O4" s="5">
        <v>0.03</v>
      </c>
      <c r="P4" s="5">
        <v>0.1</v>
      </c>
      <c r="Q4" s="31" t="s">
        <v>61</v>
      </c>
      <c r="R4" s="32">
        <v>0.8</v>
      </c>
    </row>
    <row r="5" spans="1:18" ht="15.75" x14ac:dyDescent="0.25">
      <c r="A5" s="2" t="s">
        <v>49</v>
      </c>
      <c r="B5" s="30">
        <v>10000</v>
      </c>
      <c r="C5" s="30">
        <v>14280</v>
      </c>
      <c r="D5" s="6">
        <v>45107</v>
      </c>
      <c r="E5" s="25">
        <v>100000000</v>
      </c>
      <c r="F5" s="4">
        <v>25</v>
      </c>
      <c r="G5" s="31">
        <f t="shared" si="0"/>
        <v>5712000</v>
      </c>
      <c r="H5" s="25">
        <v>50000</v>
      </c>
      <c r="I5" s="3">
        <v>365</v>
      </c>
      <c r="J5" s="5">
        <v>0.02</v>
      </c>
      <c r="K5" s="25">
        <v>10000</v>
      </c>
      <c r="L5" s="25">
        <v>5000000</v>
      </c>
      <c r="M5" s="4">
        <v>5</v>
      </c>
      <c r="N5" s="25">
        <v>500000</v>
      </c>
      <c r="O5" s="5">
        <v>0.03</v>
      </c>
      <c r="P5" s="5">
        <v>0.1</v>
      </c>
      <c r="Q5" s="31" t="s">
        <v>62</v>
      </c>
      <c r="R5" s="32">
        <v>1.1000000000000001</v>
      </c>
    </row>
    <row r="6" spans="1:18" ht="15.75" x14ac:dyDescent="0.25">
      <c r="A6" s="2" t="s">
        <v>50</v>
      </c>
      <c r="B6" s="30">
        <v>10000</v>
      </c>
      <c r="C6" s="30">
        <v>14280</v>
      </c>
      <c r="D6" s="6">
        <v>45107</v>
      </c>
      <c r="E6" s="25">
        <v>100000000</v>
      </c>
      <c r="F6" s="4">
        <v>25</v>
      </c>
      <c r="G6" s="31">
        <f t="shared" si="0"/>
        <v>5712000</v>
      </c>
      <c r="H6" s="25">
        <v>50000</v>
      </c>
      <c r="I6" s="3">
        <v>365</v>
      </c>
      <c r="J6" s="5">
        <v>0.02</v>
      </c>
      <c r="K6" s="25">
        <v>10000</v>
      </c>
      <c r="L6" s="25">
        <v>5000000</v>
      </c>
      <c r="M6" s="4">
        <v>5</v>
      </c>
      <c r="N6" s="25">
        <v>500000</v>
      </c>
      <c r="O6" s="5">
        <v>0.03</v>
      </c>
      <c r="P6" s="5">
        <v>0.1</v>
      </c>
      <c r="Q6" s="31" t="s">
        <v>62</v>
      </c>
      <c r="R6" s="32">
        <v>1.1000000000000001</v>
      </c>
    </row>
    <row r="7" spans="1:18" ht="15.75" x14ac:dyDescent="0.25">
      <c r="A7" s="2" t="s">
        <v>51</v>
      </c>
      <c r="B7" s="30">
        <v>12000</v>
      </c>
      <c r="C7" s="30">
        <v>15340</v>
      </c>
      <c r="D7" s="6">
        <v>45382</v>
      </c>
      <c r="E7" s="25">
        <v>115000000</v>
      </c>
      <c r="F7" s="4">
        <v>25</v>
      </c>
      <c r="G7" s="31">
        <f t="shared" si="0"/>
        <v>6136000</v>
      </c>
      <c r="H7" s="25">
        <v>54000</v>
      </c>
      <c r="I7" s="3">
        <v>365</v>
      </c>
      <c r="J7" s="5">
        <v>0.02</v>
      </c>
      <c r="K7" s="25">
        <v>10000</v>
      </c>
      <c r="L7" s="25">
        <v>4800000</v>
      </c>
      <c r="M7" s="4">
        <v>5</v>
      </c>
      <c r="N7" s="25">
        <v>500000</v>
      </c>
      <c r="O7" s="5">
        <v>0.03</v>
      </c>
      <c r="P7" s="5">
        <v>0.1</v>
      </c>
      <c r="Q7" s="31" t="s">
        <v>62</v>
      </c>
      <c r="R7" s="32">
        <v>1.05</v>
      </c>
    </row>
    <row r="8" spans="1:18" ht="15.75" x14ac:dyDescent="0.25">
      <c r="A8" s="2" t="s">
        <v>52</v>
      </c>
      <c r="B8" s="30">
        <v>12000</v>
      </c>
      <c r="C8" s="30">
        <v>15440</v>
      </c>
      <c r="D8" s="6">
        <v>45397</v>
      </c>
      <c r="E8" s="25">
        <v>115000000</v>
      </c>
      <c r="F8" s="4">
        <v>25</v>
      </c>
      <c r="G8" s="31">
        <f t="shared" si="0"/>
        <v>6176000</v>
      </c>
      <c r="H8" s="25">
        <v>54000</v>
      </c>
      <c r="I8" s="3">
        <v>365</v>
      </c>
      <c r="J8" s="5">
        <v>0.02</v>
      </c>
      <c r="K8" s="25">
        <v>10000</v>
      </c>
      <c r="L8" s="25">
        <v>4700000</v>
      </c>
      <c r="M8" s="4">
        <v>5</v>
      </c>
      <c r="N8" s="25">
        <v>500000</v>
      </c>
      <c r="O8" s="5">
        <v>0.03</v>
      </c>
      <c r="P8" s="5">
        <v>0.1</v>
      </c>
      <c r="Q8" s="31" t="s">
        <v>62</v>
      </c>
      <c r="R8" s="32">
        <v>1.05</v>
      </c>
    </row>
    <row r="9" spans="1:18" ht="15.75" x14ac:dyDescent="0.25">
      <c r="A9" s="2" t="s">
        <v>53</v>
      </c>
      <c r="B9" s="30">
        <v>8000</v>
      </c>
      <c r="C9" s="30" t="s">
        <v>58</v>
      </c>
      <c r="D9" s="6">
        <v>45747</v>
      </c>
      <c r="E9" s="25">
        <v>9000000</v>
      </c>
      <c r="F9" s="4">
        <v>25</v>
      </c>
      <c r="G9" s="31" t="e">
        <f t="shared" si="0"/>
        <v>#VALUE!</v>
      </c>
      <c r="H9" s="25">
        <v>45000</v>
      </c>
      <c r="I9" s="3">
        <v>365</v>
      </c>
      <c r="J9" s="5">
        <v>0.02</v>
      </c>
      <c r="K9" s="25">
        <v>10000</v>
      </c>
      <c r="L9" s="25">
        <v>5200000</v>
      </c>
      <c r="M9" s="4">
        <v>5</v>
      </c>
      <c r="N9" s="25">
        <v>500000</v>
      </c>
      <c r="O9" s="5">
        <v>0.03</v>
      </c>
      <c r="P9" s="5">
        <v>0.1</v>
      </c>
      <c r="Q9" s="31" t="s">
        <v>61</v>
      </c>
      <c r="R9" s="32">
        <v>0.78</v>
      </c>
    </row>
    <row r="10" spans="1:18" ht="15.75" x14ac:dyDescent="0.25">
      <c r="A10" s="2" t="s">
        <v>54</v>
      </c>
      <c r="B10" s="30">
        <v>8000</v>
      </c>
      <c r="C10" s="30">
        <v>13095</v>
      </c>
      <c r="D10" s="6">
        <f t="shared" si="1"/>
        <v>45838</v>
      </c>
      <c r="E10" s="25">
        <v>90000000</v>
      </c>
      <c r="F10" s="4">
        <v>25</v>
      </c>
      <c r="G10" s="31">
        <f t="shared" si="0"/>
        <v>5238000</v>
      </c>
      <c r="H10" s="25">
        <v>45250</v>
      </c>
      <c r="I10" s="3">
        <v>365</v>
      </c>
      <c r="J10" s="5">
        <v>0.02</v>
      </c>
      <c r="K10" s="25">
        <v>10500</v>
      </c>
      <c r="L10" s="25">
        <v>5252000</v>
      </c>
      <c r="M10" s="4">
        <v>5</v>
      </c>
      <c r="N10" s="25">
        <v>500000</v>
      </c>
      <c r="O10" s="5">
        <v>0.03</v>
      </c>
      <c r="P10" s="5">
        <v>0.1</v>
      </c>
      <c r="Q10" s="31" t="s">
        <v>61</v>
      </c>
      <c r="R10" s="32">
        <v>0.78</v>
      </c>
    </row>
    <row r="11" spans="1:18" ht="15.75" x14ac:dyDescent="0.25">
      <c r="A11" s="2" t="s">
        <v>55</v>
      </c>
      <c r="B11" s="30">
        <v>8000</v>
      </c>
      <c r="C11" s="30">
        <v>13095</v>
      </c>
      <c r="D11" s="6">
        <f t="shared" si="1"/>
        <v>45930</v>
      </c>
      <c r="E11" s="25">
        <v>90000000</v>
      </c>
      <c r="F11" s="4">
        <v>25</v>
      </c>
      <c r="G11" s="31">
        <f t="shared" si="0"/>
        <v>5238000</v>
      </c>
      <c r="H11" s="25">
        <v>45500</v>
      </c>
      <c r="I11" s="3">
        <v>365</v>
      </c>
      <c r="J11" s="5">
        <v>0.02</v>
      </c>
      <c r="K11" s="25">
        <v>10500</v>
      </c>
      <c r="L11" s="25">
        <v>5240000</v>
      </c>
      <c r="M11" s="4">
        <v>5</v>
      </c>
      <c r="N11" s="25">
        <v>500000</v>
      </c>
      <c r="O11" s="5">
        <v>0.03</v>
      </c>
      <c r="P11" s="5">
        <v>0.1</v>
      </c>
      <c r="Q11" s="31" t="s">
        <v>61</v>
      </c>
      <c r="R11" s="32">
        <v>0.78</v>
      </c>
    </row>
  </sheetData>
  <phoneticPr fontId="1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185F8B81323C419B9D13BECBC00B5F" ma:contentTypeVersion="16" ma:contentTypeDescription="Create a new document." ma:contentTypeScope="" ma:versionID="0370c41719017e07fc235c27441ca214">
  <xsd:schema xmlns:xsd="http://www.w3.org/2001/XMLSchema" xmlns:xs="http://www.w3.org/2001/XMLSchema" xmlns:p="http://schemas.microsoft.com/office/2006/metadata/properties" xmlns:ns2="ec1e0b3d-e6d4-4d60-8336-06175c753c05" xmlns:ns3="cb33da3d-792e-415a-9ec2-59bdff1453f2" targetNamespace="http://schemas.microsoft.com/office/2006/metadata/properties" ma:root="true" ma:fieldsID="eae17a4802d55bc3bdcf418c9e0e10f0" ns2:_="" ns3:_="">
    <xsd:import namespace="ec1e0b3d-e6d4-4d60-8336-06175c753c05"/>
    <xsd:import namespace="cb33da3d-792e-415a-9ec2-59bdff1453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e0b3d-e6d4-4d60-8336-06175c753c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6321ed8-cc86-4a0d-9848-7af7251a54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3da3d-792e-415a-9ec2-59bdff1453f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831f7be-0e75-4401-b3d2-56b91eab6859}" ma:internalName="TaxCatchAll" ma:showField="CatchAllData" ma:web="cb33da3d-792e-415a-9ec2-59bdff1453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1e0b3d-e6d4-4d60-8336-06175c753c05">
      <Terms xmlns="http://schemas.microsoft.com/office/infopath/2007/PartnerControls"/>
    </lcf76f155ced4ddcb4097134ff3c332f>
    <TaxCatchAll xmlns="cb33da3d-792e-415a-9ec2-59bdff1453f2" xsi:nil="true"/>
  </documentManagement>
</p:properties>
</file>

<file path=customXml/itemProps1.xml><?xml version="1.0" encoding="utf-8"?>
<ds:datastoreItem xmlns:ds="http://schemas.openxmlformats.org/officeDocument/2006/customXml" ds:itemID="{D8181EDB-E5E3-43EF-B217-EB703F8D4C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C13A5E-FDF6-49B2-A8D5-4F61FB0014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1e0b3d-e6d4-4d60-8336-06175c753c05"/>
    <ds:schemaRef ds:uri="cb33da3d-792e-415a-9ec2-59bdff1453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0D22E3-FCDF-4307-9243-D875F504B570}">
  <ds:schemaRefs>
    <ds:schemaRef ds:uri="http://schemas.microsoft.com/office/2006/metadata/properties"/>
    <ds:schemaRef ds:uri="http://schemas.microsoft.com/office/infopath/2007/PartnerControls"/>
    <ds:schemaRef ds:uri="ec1e0b3d-e6d4-4d60-8336-06175c753c05"/>
    <ds:schemaRef ds:uri="cb33da3d-792e-415a-9ec2-59bdff1453f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&amp; Output (Basic)</vt:lpstr>
      <vt:lpstr>Calculation</vt:lpstr>
      <vt:lpstr>Sample Data for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Sun</dc:creator>
  <cp:lastModifiedBy>Sunny Sun</cp:lastModifiedBy>
  <dcterms:created xsi:type="dcterms:W3CDTF">2026-04-02T21:32:02Z</dcterms:created>
  <dcterms:modified xsi:type="dcterms:W3CDTF">2026-05-06T23:27:57Z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ediaServiceImageTags">
    <vt:lpwstr/>
  </property>
  <property fmtid="{D5CDD505-2E9C-101B-9397-08002B2CF9AE}" pid="5" name="ContentTypeId">
    <vt:lpwstr>0x010100B1185F8B81323C419B9D13BECBC00B5F</vt:lpwstr>
  </property>
</Properties>
</file>